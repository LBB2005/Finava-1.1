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Annual Summary" sheetId="3" state="visible" r:id="rId5"/>
    <sheet name="Unit Econom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<sst xmlns="http://schemas.openxmlformats.org/spreadsheetml/2006/main" count="152" uniqueCount="115">
  <si>
    <t xml:space="preserve">LUCRA — Financial Model Assumptions</t>
  </si>
  <si>
    <t xml:space="preserve">Blue cells = editable inputs  |  All projections in USD</t>
  </si>
  <si>
    <t xml:space="preserve">PRICING</t>
  </si>
  <si>
    <t xml:space="preserve">Research Tier</t>
  </si>
  <si>
    <t xml:space="preserve">Pro Tier</t>
  </si>
  <si>
    <t xml:space="preserve">Monthly subscription price ($/mo)</t>
  </si>
  <si>
    <t xml:space="preserve">Annual subscription ($/yr, ~20% discount)</t>
  </si>
  <si>
    <t xml:space="preserve">USER GROWTH (paying subscribers, end of year)</t>
  </si>
  <si>
    <t xml:space="preserve">Year 1</t>
  </si>
  <si>
    <t xml:space="preserve">Year 2</t>
  </si>
  <si>
    <t xml:space="preserve">Year 3</t>
  </si>
  <si>
    <t xml:space="preserve">Research tier subscribers (EOP)</t>
  </si>
  <si>
    <t xml:space="preserve">Pro tier subscribers (EOP)</t>
  </si>
  <si>
    <t xml:space="preserve">% of users on annual plan (blended)</t>
  </si>
  <si>
    <t xml:space="preserve">Monthly churn rate</t>
  </si>
  <si>
    <t xml:space="preserve">VARIABLE COSTS (API cost per user per month)</t>
  </si>
  <si>
    <t xml:space="preserve">Anthropic (Claude Sonnet+Haiku) cost ($/user/mo)</t>
  </si>
  <si>
    <t xml:space="preserve">Data APIs (Finnhub, Perplexity) cost ($/user/mo)</t>
  </si>
  <si>
    <t xml:space="preserve">Total variable COGS ($/user/mo)</t>
  </si>
  <si>
    <t xml:space="preserve">FIXED COSTS (per month)</t>
  </si>
  <si>
    <t xml:space="preserve">Infrastructure (Vercel Pro, Firebase Blaze) ($/mo)</t>
  </si>
  <si>
    <t xml:space="preserve">Data API base/floor fees (Finnhub paid) ($/mo)</t>
  </si>
  <si>
    <t xml:space="preserve">Legal / compliance / insurance ($/mo)</t>
  </si>
  <si>
    <t xml:space="preserve">Marketing / content / tools ($/mo)</t>
  </si>
  <si>
    <t xml:space="preserve">Founder salary / draw ($/mo)</t>
  </si>
  <si>
    <t xml:space="preserve">HIRING PLAN</t>
  </si>
  <si>
    <t xml:space="preserve">Month first hire starts (back-end engineer)</t>
  </si>
  <si>
    <t xml:space="preserve">Fully-loaded cost — first hire ($/mo)</t>
  </si>
  <si>
    <t xml:space="preserve">Month second hire starts (growth/marketing)</t>
  </si>
  <si>
    <t xml:space="preserve">Fully-loaded cost — second hire ($/mo)</t>
  </si>
  <si>
    <t xml:space="preserve">LUCRA — Monthly P&amp;L (36-Month Projection)</t>
  </si>
  <si>
    <t xml:space="preserve">($USD)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</si>
  <si>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</si>
  <si>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</si>
  <si>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</si>
  <si>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</si>
  <si>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</si>
  <si>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</si>
  <si>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</si>
  <si>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</si>
  <si>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</si>
  <si>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</si>
  <si>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</si>
  <si>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</si>
  <si>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SUBSCRIBERS</t>
  </si>
  <si>
    <t xml:space="preserve">Research tier subscribers (avg during month)</t>
  </si>
  <si>
    <t xml:space="preserve">Pro tier subscribers (avg during month)</t>
  </si>
  <si>
    <t xml:space="preserve">Total paying subscribers</t>
  </si>
  <si>
    <t xml:space="preserve">REVENUE</t>
  </si>
  <si>
    <t xml:space="preserve">Research tier MRR</t>
  </si>
  <si>
    <t xml:space="preserve">Pro tier MRR</t>
  </si>
  <si>
    <t xml:space="preserve">Total MRR</t>
  </si>
  <si>
    <t xml:space="preserve">Total ARR (annualised)</t>
  </si>
  <si>
    <t xml:space="preserve">VARIABLE COSTS (COGS)</t>
  </si>
  <si>
    <t xml:space="preserve">Research tier API costs</t>
  </si>
  <si>
    <t xml:space="preserve">Pro tier API costs</t>
  </si>
  <si>
    <t xml:space="preserve">Total variable COGS</t>
  </si>
  <si>
    <t xml:space="preserve">Gross profit</t>
  </si>
  <si>
    <t xml:space="preserve">Gross margin %</t>
  </si>
  <si>
    <t xml:space="preserve">FIXED OPERATING EXPENSES</t>
  </si>
  <si>
    <t xml:space="preserve">Infrastructure &amp; hosting</t>
  </si>
  <si>
    <t xml:space="preserve">Data API base fees</t>
  </si>
  <si>
    <t xml:space="preserve">Legal / compliance</t>
  </si>
  <si>
    <t xml:space="preserve">Marketing &amp; content</t>
  </si>
  <si>
    <t xml:space="preserve">Personnel (founder + hires)</t>
  </si>
  <si>
    <t xml:space="preserve">Total fixed OpEx</t>
  </si>
  <si>
    <t xml:space="preserve">BOTTOM LINE</t>
  </si>
  <si>
    <t xml:space="preserve">EBITDA</t>
  </si>
  <si>
    <t xml:space="preserve">EBITDA margin %</t>
  </si>
  <si>
    <t xml:space="preserve">Cumulative cash position</t>
  </si>
  <si>
    <t xml:space="preserve">LUCRA — Annual Summary</t>
  </si>
  <si>
    <t xml:space="preserve">SUBSCRIBERS (end of year)</t>
  </si>
  <si>
    <t xml:space="preserve">  Research tier (EOP)</t>
  </si>
  <si>
    <t xml:space="preserve">  Pro tier (EOP)</t>
  </si>
  <si>
    <t xml:space="preserve">  Total paying subscribers (EOP)</t>
  </si>
  <si>
    <t xml:space="preserve">  Total revenue (full year)</t>
  </si>
  <si>
    <t xml:space="preserve">  ARR at year-end (annualised MRR)</t>
  </si>
  <si>
    <t xml:space="preserve">  Revenue growth YoY</t>
  </si>
  <si>
    <t xml:space="preserve">—</t>
  </si>
  <si>
    <t xml:space="preserve">PROFITABILITY</t>
  </si>
  <si>
    <t xml:space="preserve">  Gross profit (full year)</t>
  </si>
  <si>
    <t xml:space="preserve">  Gross margin %</t>
  </si>
  <si>
    <t xml:space="preserve">  Total fixed OpEx (full year)</t>
  </si>
  <si>
    <t xml:space="preserve">  EBITDA (full year)</t>
  </si>
  <si>
    <t xml:space="preserve">  EBITDA margin %</t>
  </si>
  <si>
    <t xml:space="preserve">UNIT ECONOMICS</t>
  </si>
  <si>
    <t xml:space="preserve">  Blended CAC estimate ($)</t>
  </si>
  <si>
    <t xml:space="preserve">  Blended ARPU/month</t>
  </si>
  <si>
    <t xml:space="preserve">  Implied LTV (12mo, 70% retention)</t>
  </si>
  <si>
    <t xml:space="preserve">  LTV:CAC ratio</t>
  </si>
  <si>
    <t xml:space="preserve">  CAC payback period (months)</t>
  </si>
  <si>
    <t xml:space="preserve">CASH POSITION (cumulative)</t>
  </si>
  <si>
    <t xml:space="preserve">  Cumulative cash (end of year)</t>
  </si>
  <si>
    <t xml:space="preserve">LUCRA — Unit Economics Deep Dive</t>
  </si>
  <si>
    <t xml:space="preserve">Blended</t>
  </si>
  <si>
    <t xml:space="preserve">REVENUE PER USER</t>
  </si>
  <si>
    <t xml:space="preserve">  Monthly price ($/mo)</t>
  </si>
  <si>
    <t xml:space="preserve">  Annual price ($/yr)</t>
  </si>
  <si>
    <t xml:space="preserve">VARIABLE COST PER USER / MONTH</t>
  </si>
  <si>
    <t xml:space="preserve">  Anthropic API cost</t>
  </si>
  <si>
    <t xml:space="preserve">  Data API cost</t>
  </si>
  <si>
    <t xml:space="preserve">  Total variable COGS</t>
  </si>
  <si>
    <t xml:space="preserve">MONTHLY UNIT ECONOMICS</t>
  </si>
  <si>
    <t xml:space="preserve">  Monthly contribution margin</t>
  </si>
  <si>
    <t xml:space="preserve">  Contribution margin %</t>
  </si>
  <si>
    <t xml:space="preserve">PAYBACK &amp; LTV (at current churn assumptions)</t>
  </si>
  <si>
    <t xml:space="preserve">  Assumed blended CAC ($)</t>
  </si>
  <si>
    <t xml:space="preserve">  Monthly churn rate</t>
  </si>
  <si>
    <t xml:space="preserve">  Avg customer lifetime (months)</t>
  </si>
  <si>
    <t xml:space="preserve">  LTV (contribution margin × lifetime)</t>
  </si>
  <si>
    <t xml:space="preserve">API COST SENSITIVITY (queries per month)</t>
  </si>
  <si>
    <t xml:space="preserve">  Cost per query at plan limit (30 queries)</t>
  </si>
  <si>
    <t xml:space="preserve">  Max profitable queries at current price</t>
  </si>
  <si>
    <t xml:space="preserve">  Revenue per query at plan limit</t>
  </si>
  <si>
    <t xml:space="preserve">  Gross margin per query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</si>
</sst>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;\(#,##0\);\-"/>
    <numFmt numFmtId="167" formatCode="0.0%;\(0.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7"/>
        <bgColor rgb="FFF2F7FF"/>
      </patternFill>
    </fill>
    <fill>
      <patternFill patternType="solid">
        <fgColor rgb="FFF2F7FF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88888"/>
      <rgbColor rgb="FF9999FF"/>
      <rgbColor rgb="FF993366"/>
      <rgbColor rgb="FFF2F7FF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75623"/>
      <rgbColor rgb="FF833C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</row>
    <row r="5" customFormat="false" ht="15.75" hidden="false" customHeight="true" outlineLevel="0" collapsed="false">
      <c r="B5" s="4" t="s">
        <v>3</v>
      </c>
      <c r="C5" s="4" t="s">
        <v>4</v>
      </c>
    </row>
    <row r="6" customFormat="false" ht="15.75" hidden="false" customHeight="true" outlineLevel="0" collapsed="false">
      <c r="A6" s="5" t="s">
        <v>5</v>
      </c>
      <c r="B6" s="6" t="n">
        <v>25</v>
      </c>
      <c r="C6" s="6" t="n">
        <v>59</v>
      </c>
    </row>
    <row r="7" customFormat="false" ht="15.75" hidden="false" customHeight="true" outlineLevel="0" collapsed="false">
      <c r="A7" s="5" t="s">
        <v>6</v>
      </c>
      <c r="B7" s="6" t="n">
        <v>240</v>
      </c>
      <c r="C7" s="6" t="n">
        <v>564</v>
      </c>
    </row>
    <row r="9" customFormat="false" ht="18" hidden="false" customHeight="true" outlineLevel="0" collapsed="false">
      <c r="A9" s="3" t="s">
        <v>7</v>
      </c>
      <c r="B9" s="3"/>
      <c r="C9" s="3"/>
      <c r="D9" s="3"/>
      <c r="E9" s="3"/>
    </row>
    <row r="10" customFormat="false" ht="15.75" hidden="false" customHeight="true" outlineLevel="0" collapsed="false">
      <c r="B10" s="4" t="s">
        <v>8</v>
      </c>
      <c r="C10" s="4" t="s">
        <v>9</v>
      </c>
      <c r="D10" s="4" t="s">
        <v>10</v>
      </c>
    </row>
    <row r="11" customFormat="false" ht="15.75" hidden="false" customHeight="true" outlineLevel="0" collapsed="false">
      <c r="A11" s="5" t="s">
        <v>11</v>
      </c>
      <c r="B11" s="7" t="n">
        <v>200</v>
      </c>
      <c r="C11" s="7" t="n">
        <v>3000</v>
      </c>
      <c r="D11" s="7" t="n">
        <v>12000</v>
      </c>
    </row>
    <row r="12" customFormat="false" ht="15.75" hidden="false" customHeight="true" outlineLevel="0" collapsed="false">
      <c r="A12" s="5" t="s">
        <v>12</v>
      </c>
      <c r="B12" s="7" t="n">
        <v>50</v>
      </c>
      <c r="C12" s="7" t="n">
        <v>1000</v>
      </c>
      <c r="D12" s="7" t="n">
        <v>4000</v>
      </c>
    </row>
    <row r="13" customFormat="false" ht="15.75" hidden="false" customHeight="true" outlineLevel="0" collapsed="false">
      <c r="A13" s="5" t="s">
        <v>13</v>
      </c>
      <c r="B13" s="8" t="n">
        <v>0.2</v>
      </c>
      <c r="C13" s="8" t="n">
        <v>0.3</v>
      </c>
      <c r="D13" s="8" t="n">
        <v>0.4</v>
      </c>
    </row>
    <row r="14" customFormat="false" ht="15.75" hidden="false" customHeight="true" outlineLevel="0" collapsed="false">
      <c r="A14" s="5" t="s">
        <v>14</v>
      </c>
      <c r="B14" s="8" t="n">
        <v>0.05</v>
      </c>
      <c r="C14" s="8" t="n">
        <v>0.04</v>
      </c>
      <c r="D14" s="8" t="n">
        <v>0.03</v>
      </c>
    </row>
    <row r="16" customFormat="false" ht="18" hidden="false" customHeight="true" outlineLevel="0" collapsed="false">
      <c r="A16" s="3" t="s">
        <v>15</v>
      </c>
      <c r="B16" s="3"/>
      <c r="C16" s="3"/>
      <c r="D16" s="3"/>
      <c r="E16" s="3"/>
    </row>
    <row r="17" customFormat="false" ht="15.75" hidden="false" customHeight="true" outlineLevel="0" collapsed="false">
      <c r="B17" s="4" t="s">
        <v>3</v>
      </c>
      <c r="C17" s="4" t="s">
        <v>4</v>
      </c>
    </row>
    <row r="18" customFormat="false" ht="15.75" hidden="false" customHeight="true" outlineLevel="0" collapsed="false">
      <c r="A18" s="5" t="s">
        <v>16</v>
      </c>
      <c r="B18" s="6" t="n">
        <v>8</v>
      </c>
      <c r="C18" s="6" t="n">
        <v>15</v>
      </c>
    </row>
    <row r="19" customFormat="false" ht="15.75" hidden="false" customHeight="true" outlineLevel="0" collapsed="false">
      <c r="A19" s="5" t="s">
        <v>17</v>
      </c>
      <c r="B19" s="6" t="n">
        <v>2</v>
      </c>
      <c r="C19" s="6" t="n">
        <v>4</v>
      </c>
    </row>
    <row r="20" customFormat="false" ht="15.75" hidden="false" customHeight="true" outlineLevel="0" collapsed="false">
      <c r="A20" s="9" t="s">
        <v>18</v>
      </c>
      <c r="B20" s="10" t="n">
        <f aca="false">B18+B19</f>
        <v>10</v>
      </c>
      <c r="C20" s="10" t="n">
        <f aca="false">C18+C19</f>
        <v>19</v>
      </c>
    </row>
    <row r="22" customFormat="false" ht="18" hidden="false" customHeight="true" outlineLevel="0" collapsed="false">
      <c r="A22" s="3" t="s">
        <v>19</v>
      </c>
      <c r="B22" s="3"/>
      <c r="C22" s="3"/>
      <c r="D22" s="3"/>
      <c r="E22" s="3"/>
    </row>
    <row r="23" customFormat="false" ht="15.75" hidden="false" customHeight="true" outlineLevel="0" collapsed="false">
      <c r="A23" s="5" t="s">
        <v>20</v>
      </c>
      <c r="B23" s="6" t="n">
        <v>150</v>
      </c>
    </row>
    <row r="24" customFormat="false" ht="15.75" hidden="false" customHeight="true" outlineLevel="0" collapsed="false">
      <c r="A24" s="5" t="s">
        <v>21</v>
      </c>
      <c r="B24" s="6" t="n">
        <v>100</v>
      </c>
    </row>
    <row r="25" customFormat="false" ht="15.75" hidden="false" customHeight="true" outlineLevel="0" collapsed="false">
      <c r="A25" s="5" t="s">
        <v>22</v>
      </c>
      <c r="B25" s="6" t="n">
        <v>200</v>
      </c>
    </row>
    <row r="26" customFormat="false" ht="15.75" hidden="false" customHeight="true" outlineLevel="0" collapsed="false">
      <c r="A26" s="5" t="s">
        <v>23</v>
      </c>
      <c r="B26" s="6" t="n">
        <v>500</v>
      </c>
    </row>
    <row r="27" customFormat="false" ht="15.75" hidden="false" customHeight="true" outlineLevel="0" collapsed="false">
      <c r="A27" s="5" t="s">
        <v>24</v>
      </c>
      <c r="B27" s="6" t="n">
        <v>0</v>
      </c>
    </row>
    <row r="29" customFormat="false" ht="18" hidden="false" customHeight="true" outlineLevel="0" collapsed="false">
      <c r="A29" s="3" t="s">
        <v>25</v>
      </c>
      <c r="B29" s="3"/>
      <c r="C29" s="3"/>
      <c r="D29" s="3"/>
      <c r="E29" s="3"/>
    </row>
    <row r="30" customFormat="false" ht="15.75" hidden="false" customHeight="true" outlineLevel="0" collapsed="false">
      <c r="A30" s="5" t="s">
        <v>26</v>
      </c>
      <c r="B30" s="7" t="n">
        <v>10</v>
      </c>
    </row>
    <row r="31" customFormat="false" ht="15.75" hidden="false" customHeight="true" outlineLevel="0" collapsed="false">
      <c r="A31" s="5" t="s">
        <v>27</v>
      </c>
      <c r="B31" s="6" t="n">
        <v>12000</v>
      </c>
    </row>
    <row r="32" customFormat="false" ht="15.75" hidden="false" customHeight="true" outlineLevel="0" collapsed="false">
      <c r="A32" s="5" t="s">
        <v>28</v>
      </c>
      <c r="B32" s="7" t="n">
        <v>18</v>
      </c>
    </row>
    <row r="33" customFormat="false" ht="15.75" hidden="false" customHeight="true" outlineLevel="0" collapsed="false">
      <c r="A33" s="5" t="s">
        <v>29</v>
      </c>
      <c r="B33" s="6" t="n">
        <v>10000</v>
      </c>
    </row>
  </sheetData>
  <mergeCells count="7">
    <mergeCell ref="A1:E1"/>
    <mergeCell ref="A2:E2"/>
    <mergeCell ref="A4:E4"/>
    <mergeCell ref="A9:E9"/>
    <mergeCell ref="A16:E16"/>
    <mergeCell ref="A22:E22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7" min="2" style="0" width="8.5"/>
  </cols>
  <sheetData>
    <row r="1" customFormat="false" ht="27.7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19.5" hidden="false" customHeight="true" outlineLevel="0" collapsed="false">
      <c r="A2" s="11"/>
      <c r="B2" s="12" t="s">
        <v>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 t="s">
        <v>9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 t="s">
        <v>10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customFormat="false" ht="18" hidden="false" customHeight="true" outlineLevel="0" collapsed="false">
      <c r="A3" s="13" t="s">
        <v>31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14" t="s">
        <v>37</v>
      </c>
      <c r="H3" s="14" t="s">
        <v>38</v>
      </c>
      <c r="I3" s="14" t="s">
        <v>39</v>
      </c>
      <c r="J3" s="14" t="s">
        <v>40</v>
      </c>
      <c r="K3" s="14" t="s">
        <v>41</v>
      </c>
      <c r="L3" s="14" t="s">
        <v>42</v>
      </c>
      <c r="M3" s="14" t="s">
        <v>43</v>
      </c>
      <c r="N3" s="14" t="s">
        <v>32</v>
      </c>
      <c r="O3" s="14" t="s">
        <v>33</v>
      </c>
      <c r="P3" s="14" t="s">
        <v>34</v>
      </c>
      <c r="Q3" s="14" t="s">
        <v>35</v>
      </c>
      <c r="R3" s="14" t="s">
        <v>36</v>
      </c>
      <c r="S3" s="14" t="s">
        <v>37</v>
      </c>
      <c r="T3" s="14" t="s">
        <v>38</v>
      </c>
      <c r="U3" s="14" t="s">
        <v>39</v>
      </c>
      <c r="V3" s="14" t="s">
        <v>40</v>
      </c>
      <c r="W3" s="14" t="s">
        <v>41</v>
      </c>
      <c r="X3" s="14" t="s">
        <v>42</v>
      </c>
      <c r="Y3" s="14" t="s">
        <v>43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</row>
    <row r="5" customFormat="false" ht="18" hidden="false" customHeight="true" outlineLevel="0" collapsed="false">
      <c r="A5" s="15" t="s">
        <v>44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</row>
    <row r="6" customFormat="false" ht="15" hidden="false" customHeight="true" outlineLevel="0" collapsed="false">
      <c r="A6" s="17" t="s">
        <v>45</v>
      </c>
      <c r="B6" s="18" t="n">
        <v>0</v>
      </c>
      <c r="C6" s="18" t="n">
        <v>0</v>
      </c>
      <c r="D6" s="18" t="n">
        <v>0</v>
      </c>
      <c r="E6" s="18" t="n">
        <v>67</v>
      </c>
      <c r="F6" s="18" t="n">
        <v>83</v>
      </c>
      <c r="G6" s="18" t="n">
        <v>100</v>
      </c>
      <c r="H6" s="18" t="n">
        <v>117</v>
      </c>
      <c r="I6" s="18" t="n">
        <v>133</v>
      </c>
      <c r="J6" s="18" t="n">
        <v>150</v>
      </c>
      <c r="K6" s="18" t="n">
        <v>167</v>
      </c>
      <c r="L6" s="18" t="n">
        <v>183</v>
      </c>
      <c r="M6" s="18" t="n">
        <v>200</v>
      </c>
      <c r="N6" s="18" t="n">
        <v>433</v>
      </c>
      <c r="O6" s="18" t="n">
        <v>667</v>
      </c>
      <c r="P6" s="18" t="n">
        <v>900</v>
      </c>
      <c r="Q6" s="18" t="n">
        <v>1133</v>
      </c>
      <c r="R6" s="18" t="n">
        <v>1367</v>
      </c>
      <c r="S6" s="18" t="n">
        <v>1600</v>
      </c>
      <c r="T6" s="18" t="n">
        <v>1833</v>
      </c>
      <c r="U6" s="18" t="n">
        <v>2067</v>
      </c>
      <c r="V6" s="18" t="n">
        <v>2300</v>
      </c>
      <c r="W6" s="18" t="n">
        <v>2533</v>
      </c>
      <c r="X6" s="18" t="n">
        <v>2767</v>
      </c>
      <c r="Y6" s="18" t="n">
        <v>3000</v>
      </c>
      <c r="Z6" s="18" t="n">
        <v>3750</v>
      </c>
      <c r="AA6" s="18" t="n">
        <v>4500</v>
      </c>
      <c r="AB6" s="18" t="n">
        <v>5250</v>
      </c>
      <c r="AC6" s="18" t="n">
        <v>6000</v>
      </c>
      <c r="AD6" s="18" t="n">
        <v>6750</v>
      </c>
      <c r="AE6" s="18" t="n">
        <v>7500</v>
      </c>
      <c r="AF6" s="18" t="n">
        <v>8250</v>
      </c>
      <c r="AG6" s="18" t="n">
        <v>9000</v>
      </c>
      <c r="AH6" s="18" t="n">
        <v>9750</v>
      </c>
      <c r="AI6" s="18" t="n">
        <v>10500</v>
      </c>
      <c r="AJ6" s="18" t="n">
        <v>11250</v>
      </c>
      <c r="AK6" s="18" t="n">
        <v>12000</v>
      </c>
    </row>
    <row r="7" customFormat="false" ht="15" hidden="false" customHeight="true" outlineLevel="0" collapsed="false">
      <c r="A7" s="17" t="s">
        <v>46</v>
      </c>
      <c r="B7" s="18" t="n">
        <v>0</v>
      </c>
      <c r="C7" s="18" t="n">
        <v>0</v>
      </c>
      <c r="D7" s="18" t="n">
        <v>0</v>
      </c>
      <c r="E7" s="18" t="n">
        <v>17</v>
      </c>
      <c r="F7" s="18" t="n">
        <v>21</v>
      </c>
      <c r="G7" s="18" t="n">
        <v>25</v>
      </c>
      <c r="H7" s="18" t="n">
        <v>29</v>
      </c>
      <c r="I7" s="18" t="n">
        <v>33</v>
      </c>
      <c r="J7" s="18" t="n">
        <v>38</v>
      </c>
      <c r="K7" s="18" t="n">
        <v>42</v>
      </c>
      <c r="L7" s="18" t="n">
        <v>46</v>
      </c>
      <c r="M7" s="18" t="n">
        <v>50</v>
      </c>
      <c r="N7" s="18" t="n">
        <v>129</v>
      </c>
      <c r="O7" s="18" t="n">
        <v>208</v>
      </c>
      <c r="P7" s="18" t="n">
        <v>288</v>
      </c>
      <c r="Q7" s="18" t="n">
        <v>367</v>
      </c>
      <c r="R7" s="18" t="n">
        <v>446</v>
      </c>
      <c r="S7" s="18" t="n">
        <v>525</v>
      </c>
      <c r="T7" s="18" t="n">
        <v>604</v>
      </c>
      <c r="U7" s="18" t="n">
        <v>683</v>
      </c>
      <c r="V7" s="18" t="n">
        <v>762</v>
      </c>
      <c r="W7" s="18" t="n">
        <v>842</v>
      </c>
      <c r="X7" s="18" t="n">
        <v>921</v>
      </c>
      <c r="Y7" s="18" t="n">
        <v>1000</v>
      </c>
      <c r="Z7" s="18" t="n">
        <v>1250</v>
      </c>
      <c r="AA7" s="18" t="n">
        <v>1500</v>
      </c>
      <c r="AB7" s="18" t="n">
        <v>1750</v>
      </c>
      <c r="AC7" s="18" t="n">
        <v>2000</v>
      </c>
      <c r="AD7" s="18" t="n">
        <v>2250</v>
      </c>
      <c r="AE7" s="18" t="n">
        <v>2500</v>
      </c>
      <c r="AF7" s="18" t="n">
        <v>2750</v>
      </c>
      <c r="AG7" s="18" t="n">
        <v>3000</v>
      </c>
      <c r="AH7" s="18" t="n">
        <v>3250</v>
      </c>
      <c r="AI7" s="18" t="n">
        <v>3500</v>
      </c>
      <c r="AJ7" s="18" t="n">
        <v>3750</v>
      </c>
      <c r="AK7" s="18" t="n">
        <v>4000</v>
      </c>
    </row>
    <row r="8" customFormat="false" ht="15" hidden="false" customHeight="true" outlineLevel="0" collapsed="false">
      <c r="A8" s="19" t="s">
        <v>47</v>
      </c>
      <c r="B8" s="20" t="n">
        <f aca="false">B6+B7</f>
        <v>0</v>
      </c>
      <c r="C8" s="20" t="n">
        <f aca="false">C6+C7</f>
        <v>0</v>
      </c>
      <c r="D8" s="20" t="n">
        <f aca="false">D6+D7</f>
        <v>0</v>
      </c>
      <c r="E8" s="20" t="n">
        <f aca="false">E6+E7</f>
        <v>84</v>
      </c>
      <c r="F8" s="20" t="n">
        <f aca="false">F6+F7</f>
        <v>104</v>
      </c>
      <c r="G8" s="20" t="n">
        <f aca="false">G6+G7</f>
        <v>125</v>
      </c>
      <c r="H8" s="20" t="n">
        <f aca="false">H6+H7</f>
        <v>146</v>
      </c>
      <c r="I8" s="20" t="n">
        <f aca="false">I6+I7</f>
        <v>166</v>
      </c>
      <c r="J8" s="20" t="n">
        <f aca="false">J6+J7</f>
        <v>188</v>
      </c>
      <c r="K8" s="20" t="n">
        <f aca="false">K6+K7</f>
        <v>209</v>
      </c>
      <c r="L8" s="20" t="n">
        <f aca="false">L6+L7</f>
        <v>229</v>
      </c>
      <c r="M8" s="20" t="n">
        <f aca="false">M6+M7</f>
        <v>250</v>
      </c>
      <c r="N8" s="20" t="n">
        <f aca="false">N6+N7</f>
        <v>562</v>
      </c>
      <c r="O8" s="20" t="n">
        <f aca="false">O6+O7</f>
        <v>875</v>
      </c>
      <c r="P8" s="20" t="n">
        <f aca="false">P6+P7</f>
        <v>1188</v>
      </c>
      <c r="Q8" s="20" t="n">
        <f aca="false">Q6+Q7</f>
        <v>1500</v>
      </c>
      <c r="R8" s="20" t="n">
        <f aca="false">R6+R7</f>
        <v>1813</v>
      </c>
      <c r="S8" s="20" t="n">
        <f aca="false">S6+S7</f>
        <v>2125</v>
      </c>
      <c r="T8" s="20" t="n">
        <f aca="false">T6+T7</f>
        <v>2437</v>
      </c>
      <c r="U8" s="20" t="n">
        <f aca="false">U6+U7</f>
        <v>2750</v>
      </c>
      <c r="V8" s="20" t="n">
        <f aca="false">V6+V7</f>
        <v>3062</v>
      </c>
      <c r="W8" s="20" t="n">
        <f aca="false">W6+W7</f>
        <v>3375</v>
      </c>
      <c r="X8" s="20" t="n">
        <f aca="false">X6+X7</f>
        <v>3688</v>
      </c>
      <c r="Y8" s="20" t="n">
        <f aca="false">Y6+Y7</f>
        <v>4000</v>
      </c>
      <c r="Z8" s="20" t="n">
        <f aca="false">Z6+Z7</f>
        <v>5000</v>
      </c>
      <c r="AA8" s="20" t="n">
        <f aca="false">AA6+AA7</f>
        <v>6000</v>
      </c>
      <c r="AB8" s="20" t="n">
        <f aca="false">AB6+AB7</f>
        <v>7000</v>
      </c>
      <c r="AC8" s="20" t="n">
        <f aca="false">AC6+AC7</f>
        <v>8000</v>
      </c>
      <c r="AD8" s="20" t="n">
        <f aca="false">AD6+AD7</f>
        <v>9000</v>
      </c>
      <c r="AE8" s="20" t="n">
        <f aca="false">AE6+AE7</f>
        <v>10000</v>
      </c>
      <c r="AF8" s="20" t="n">
        <f aca="false">AF6+AF7</f>
        <v>11000</v>
      </c>
      <c r="AG8" s="20" t="n">
        <f aca="false">AG6+AG7</f>
        <v>12000</v>
      </c>
      <c r="AH8" s="20" t="n">
        <f aca="false">AH6+AH7</f>
        <v>13000</v>
      </c>
      <c r="AI8" s="20" t="n">
        <f aca="false">AI6+AI7</f>
        <v>14000</v>
      </c>
      <c r="AJ8" s="20" t="n">
        <f aca="false">AJ6+AJ7</f>
        <v>15000</v>
      </c>
      <c r="AK8" s="20" t="n">
        <f aca="false">AK6+AK7</f>
        <v>16000</v>
      </c>
    </row>
    <row r="10" customFormat="false" ht="18" hidden="false" customHeight="true" outlineLevel="0" collapsed="false">
      <c r="A10" s="15" t="s">
        <v>48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customFormat="false" ht="15" hidden="false" customHeight="true" outlineLevel="0" collapsed="false">
      <c r="A11" s="17" t="s">
        <v>49</v>
      </c>
      <c r="B11" s="21" t="n">
        <f aca="false">B6*Assumptions!B6</f>
        <v>0</v>
      </c>
      <c r="C11" s="21" t="n">
        <f aca="false">C6*Assumptions!B6</f>
        <v>0</v>
      </c>
      <c r="D11" s="21" t="n">
        <f aca="false">D6*Assumptions!B6</f>
        <v>0</v>
      </c>
      <c r="E11" s="21" t="n">
        <f aca="false">E6*Assumptions!B6</f>
        <v>1675</v>
      </c>
      <c r="F11" s="21" t="n">
        <f aca="false">F6*Assumptions!B6</f>
        <v>2075</v>
      </c>
      <c r="G11" s="21" t="n">
        <f aca="false">G6*Assumptions!B6</f>
        <v>2500</v>
      </c>
      <c r="H11" s="21" t="n">
        <f aca="false">H6*Assumptions!B6</f>
        <v>2925</v>
      </c>
      <c r="I11" s="21" t="n">
        <f aca="false">I6*Assumptions!B6</f>
        <v>3325</v>
      </c>
      <c r="J11" s="21" t="n">
        <f aca="false">J6*Assumptions!B6</f>
        <v>3750</v>
      </c>
      <c r="K11" s="21" t="n">
        <f aca="false">K6*Assumptions!B6</f>
        <v>4175</v>
      </c>
      <c r="L11" s="21" t="n">
        <f aca="false">L6*Assumptions!B6</f>
        <v>4575</v>
      </c>
      <c r="M11" s="21" t="n">
        <f aca="false">M6*Assumptions!B6</f>
        <v>5000</v>
      </c>
      <c r="N11" s="21" t="n">
        <f aca="false">N6*Assumptions!B6</f>
        <v>10825</v>
      </c>
      <c r="O11" s="21" t="n">
        <f aca="false">O6*Assumptions!B6</f>
        <v>16675</v>
      </c>
      <c r="P11" s="21" t="n">
        <f aca="false">P6*Assumptions!B6</f>
        <v>22500</v>
      </c>
      <c r="Q11" s="21" t="n">
        <f aca="false">Q6*Assumptions!B6</f>
        <v>28325</v>
      </c>
      <c r="R11" s="21" t="n">
        <f aca="false">R6*Assumptions!B6</f>
        <v>34175</v>
      </c>
      <c r="S11" s="21" t="n">
        <f aca="false">S6*Assumptions!B6</f>
        <v>40000</v>
      </c>
      <c r="T11" s="21" t="n">
        <f aca="false">T6*Assumptions!B6</f>
        <v>45825</v>
      </c>
      <c r="U11" s="21" t="n">
        <f aca="false">U6*Assumptions!B6</f>
        <v>51675</v>
      </c>
      <c r="V11" s="21" t="n">
        <f aca="false">V6*Assumptions!B6</f>
        <v>57500</v>
      </c>
      <c r="W11" s="21" t="n">
        <f aca="false">W6*Assumptions!B6</f>
        <v>63325</v>
      </c>
      <c r="X11" s="21" t="n">
        <f aca="false">X6*Assumptions!B6</f>
        <v>69175</v>
      </c>
      <c r="Y11" s="21" t="n">
        <f aca="false">Y6*Assumptions!B6</f>
        <v>75000</v>
      </c>
      <c r="Z11" s="21" t="n">
        <f aca="false">Z6*Assumptions!B6</f>
        <v>93750</v>
      </c>
      <c r="AA11" s="21" t="n">
        <f aca="false">AA6*Assumptions!B6</f>
        <v>112500</v>
      </c>
      <c r="AB11" s="21" t="n">
        <f aca="false">AB6*Assumptions!B6</f>
        <v>131250</v>
      </c>
      <c r="AC11" s="21" t="n">
        <f aca="false">AC6*Assumptions!B6</f>
        <v>150000</v>
      </c>
      <c r="AD11" s="21" t="n">
        <f aca="false">AD6*Assumptions!B6</f>
        <v>168750</v>
      </c>
      <c r="AE11" s="21" t="n">
        <f aca="false">AE6*Assumptions!B6</f>
        <v>187500</v>
      </c>
      <c r="AF11" s="21" t="n">
        <f aca="false">AF6*Assumptions!B6</f>
        <v>206250</v>
      </c>
      <c r="AG11" s="21" t="n">
        <f aca="false">AG6*Assumptions!B6</f>
        <v>225000</v>
      </c>
      <c r="AH11" s="21" t="n">
        <f aca="false">AH6*Assumptions!B6</f>
        <v>243750</v>
      </c>
      <c r="AI11" s="21" t="n">
        <f aca="false">AI6*Assumptions!B6</f>
        <v>262500</v>
      </c>
      <c r="AJ11" s="21" t="n">
        <f aca="false">AJ6*Assumptions!B6</f>
        <v>281250</v>
      </c>
      <c r="AK11" s="21" t="n">
        <f aca="false">AK6*Assumptions!B6</f>
        <v>300000</v>
      </c>
    </row>
    <row r="12" customFormat="false" ht="15" hidden="false" customHeight="true" outlineLevel="0" collapsed="false">
      <c r="A12" s="17" t="s">
        <v>50</v>
      </c>
      <c r="B12" s="21" t="n">
        <f aca="false">B7*Assumptions!C6</f>
        <v>0</v>
      </c>
      <c r="C12" s="21" t="n">
        <f aca="false">C7*Assumptions!C6</f>
        <v>0</v>
      </c>
      <c r="D12" s="21" t="n">
        <f aca="false">D7*Assumptions!C6</f>
        <v>0</v>
      </c>
      <c r="E12" s="21" t="n">
        <f aca="false">E7*Assumptions!C6</f>
        <v>1003</v>
      </c>
      <c r="F12" s="21" t="n">
        <f aca="false">F7*Assumptions!C6</f>
        <v>1239</v>
      </c>
      <c r="G12" s="21" t="n">
        <f aca="false">G7*Assumptions!C6</f>
        <v>1475</v>
      </c>
      <c r="H12" s="21" t="n">
        <f aca="false">H7*Assumptions!C6</f>
        <v>1711</v>
      </c>
      <c r="I12" s="21" t="n">
        <f aca="false">I7*Assumptions!C6</f>
        <v>1947</v>
      </c>
      <c r="J12" s="21" t="n">
        <f aca="false">J7*Assumptions!C6</f>
        <v>2242</v>
      </c>
      <c r="K12" s="21" t="n">
        <f aca="false">K7*Assumptions!C6</f>
        <v>2478</v>
      </c>
      <c r="L12" s="21" t="n">
        <f aca="false">L7*Assumptions!C6</f>
        <v>2714</v>
      </c>
      <c r="M12" s="21" t="n">
        <f aca="false">M7*Assumptions!C6</f>
        <v>2950</v>
      </c>
      <c r="N12" s="21" t="n">
        <f aca="false">N7*Assumptions!C6</f>
        <v>7611</v>
      </c>
      <c r="O12" s="21" t="n">
        <f aca="false">O7*Assumptions!C6</f>
        <v>12272</v>
      </c>
      <c r="P12" s="21" t="n">
        <f aca="false">P7*Assumptions!C6</f>
        <v>16992</v>
      </c>
      <c r="Q12" s="21" t="n">
        <f aca="false">Q7*Assumptions!C6</f>
        <v>21653</v>
      </c>
      <c r="R12" s="21" t="n">
        <f aca="false">R7*Assumptions!C6</f>
        <v>26314</v>
      </c>
      <c r="S12" s="21" t="n">
        <f aca="false">S7*Assumptions!C6</f>
        <v>30975</v>
      </c>
      <c r="T12" s="21" t="n">
        <f aca="false">T7*Assumptions!C6</f>
        <v>35636</v>
      </c>
      <c r="U12" s="21" t="n">
        <f aca="false">U7*Assumptions!C6</f>
        <v>40297</v>
      </c>
      <c r="V12" s="21" t="n">
        <f aca="false">V7*Assumptions!C6</f>
        <v>44958</v>
      </c>
      <c r="W12" s="21" t="n">
        <f aca="false">W7*Assumptions!C6</f>
        <v>49678</v>
      </c>
      <c r="X12" s="21" t="n">
        <f aca="false">X7*Assumptions!C6</f>
        <v>54339</v>
      </c>
      <c r="Y12" s="21" t="n">
        <f aca="false">Y7*Assumptions!C6</f>
        <v>59000</v>
      </c>
      <c r="Z12" s="21" t="n">
        <f aca="false">Z7*Assumptions!C6</f>
        <v>73750</v>
      </c>
      <c r="AA12" s="21" t="n">
        <f aca="false">AA7*Assumptions!C6</f>
        <v>88500</v>
      </c>
      <c r="AB12" s="21" t="n">
        <f aca="false">AB7*Assumptions!C6</f>
        <v>103250</v>
      </c>
      <c r="AC12" s="21" t="n">
        <f aca="false">AC7*Assumptions!C6</f>
        <v>118000</v>
      </c>
      <c r="AD12" s="21" t="n">
        <f aca="false">AD7*Assumptions!C6</f>
        <v>132750</v>
      </c>
      <c r="AE12" s="21" t="n">
        <f aca="false">AE7*Assumptions!C6</f>
        <v>147500</v>
      </c>
      <c r="AF12" s="21" t="n">
        <f aca="false">AF7*Assumptions!C6</f>
        <v>162250</v>
      </c>
      <c r="AG12" s="21" t="n">
        <f aca="false">AG7*Assumptions!C6</f>
        <v>177000</v>
      </c>
      <c r="AH12" s="21" t="n">
        <f aca="false">AH7*Assumptions!C6</f>
        <v>191750</v>
      </c>
      <c r="AI12" s="21" t="n">
        <f aca="false">AI7*Assumptions!C6</f>
        <v>206500</v>
      </c>
      <c r="AJ12" s="21" t="n">
        <f aca="false">AJ7*Assumptions!C6</f>
        <v>221250</v>
      </c>
      <c r="AK12" s="21" t="n">
        <f aca="false">AK7*Assumptions!C6</f>
        <v>236000</v>
      </c>
    </row>
    <row r="13" customFormat="false" ht="15" hidden="false" customHeight="true" outlineLevel="0" collapsed="false">
      <c r="A13" s="19" t="s">
        <v>51</v>
      </c>
      <c r="B13" s="22" t="n">
        <f aca="false">B11+B12</f>
        <v>0</v>
      </c>
      <c r="C13" s="22" t="n">
        <f aca="false">C11+C12</f>
        <v>0</v>
      </c>
      <c r="D13" s="22" t="n">
        <f aca="false">D11+D12</f>
        <v>0</v>
      </c>
      <c r="E13" s="22" t="n">
        <f aca="false">E11+E12</f>
        <v>2678</v>
      </c>
      <c r="F13" s="22" t="n">
        <f aca="false">F11+F12</f>
        <v>3314</v>
      </c>
      <c r="G13" s="22" t="n">
        <f aca="false">G11+G12</f>
        <v>3975</v>
      </c>
      <c r="H13" s="22" t="n">
        <f aca="false">H11+H12</f>
        <v>4636</v>
      </c>
      <c r="I13" s="22" t="n">
        <f aca="false">I11+I12</f>
        <v>5272</v>
      </c>
      <c r="J13" s="22" t="n">
        <f aca="false">J11+J12</f>
        <v>5992</v>
      </c>
      <c r="K13" s="22" t="n">
        <f aca="false">K11+K12</f>
        <v>6653</v>
      </c>
      <c r="L13" s="22" t="n">
        <f aca="false">L11+L12</f>
        <v>7289</v>
      </c>
      <c r="M13" s="22" t="n">
        <f aca="false">M11+M12</f>
        <v>7950</v>
      </c>
      <c r="N13" s="22" t="n">
        <f aca="false">N11+N12</f>
        <v>18436</v>
      </c>
      <c r="O13" s="22" t="n">
        <f aca="false">O11+O12</f>
        <v>28947</v>
      </c>
      <c r="P13" s="22" t="n">
        <f aca="false">P11+P12</f>
        <v>39492</v>
      </c>
      <c r="Q13" s="22" t="n">
        <f aca="false">Q11+Q12</f>
        <v>49978</v>
      </c>
      <c r="R13" s="22" t="n">
        <f aca="false">R11+R12</f>
        <v>60489</v>
      </c>
      <c r="S13" s="22" t="n">
        <f aca="false">S11+S12</f>
        <v>70975</v>
      </c>
      <c r="T13" s="22" t="n">
        <f aca="false">T11+T12</f>
        <v>81461</v>
      </c>
      <c r="U13" s="22" t="n">
        <f aca="false">U11+U12</f>
        <v>91972</v>
      </c>
      <c r="V13" s="22" t="n">
        <f aca="false">V11+V12</f>
        <v>102458</v>
      </c>
      <c r="W13" s="22" t="n">
        <f aca="false">W11+W12</f>
        <v>113003</v>
      </c>
      <c r="X13" s="22" t="n">
        <f aca="false">X11+X12</f>
        <v>123514</v>
      </c>
      <c r="Y13" s="22" t="n">
        <f aca="false">Y11+Y12</f>
        <v>134000</v>
      </c>
      <c r="Z13" s="22" t="n">
        <f aca="false">Z11+Z12</f>
        <v>167500</v>
      </c>
      <c r="AA13" s="22" t="n">
        <f aca="false">AA11+AA12</f>
        <v>201000</v>
      </c>
      <c r="AB13" s="22" t="n">
        <f aca="false">AB11+AB12</f>
        <v>234500</v>
      </c>
      <c r="AC13" s="22" t="n">
        <f aca="false">AC11+AC12</f>
        <v>268000</v>
      </c>
      <c r="AD13" s="22" t="n">
        <f aca="false">AD11+AD12</f>
        <v>301500</v>
      </c>
      <c r="AE13" s="22" t="n">
        <f aca="false">AE11+AE12</f>
        <v>335000</v>
      </c>
      <c r="AF13" s="22" t="n">
        <f aca="false">AF11+AF12</f>
        <v>368500</v>
      </c>
      <c r="AG13" s="22" t="n">
        <f aca="false">AG11+AG12</f>
        <v>402000</v>
      </c>
      <c r="AH13" s="22" t="n">
        <f aca="false">AH11+AH12</f>
        <v>435500</v>
      </c>
      <c r="AI13" s="22" t="n">
        <f aca="false">AI11+AI12</f>
        <v>469000</v>
      </c>
      <c r="AJ13" s="22" t="n">
        <f aca="false">AJ11+AJ12</f>
        <v>502500</v>
      </c>
      <c r="AK13" s="22" t="n">
        <f aca="false">AK11+AK12</f>
        <v>536000</v>
      </c>
    </row>
    <row r="14" customFormat="false" ht="15" hidden="false" customHeight="true" outlineLevel="0" collapsed="false">
      <c r="A14" s="17" t="s">
        <v>52</v>
      </c>
      <c r="B14" s="21" t="n">
        <f aca="false">B13*12</f>
        <v>0</v>
      </c>
      <c r="C14" s="21" t="n">
        <f aca="false">C13*12</f>
        <v>0</v>
      </c>
      <c r="D14" s="21" t="n">
        <f aca="false">D13*12</f>
        <v>0</v>
      </c>
      <c r="E14" s="21" t="n">
        <f aca="false">E13*12</f>
        <v>32136</v>
      </c>
      <c r="F14" s="21" t="n">
        <f aca="false">F13*12</f>
        <v>39768</v>
      </c>
      <c r="G14" s="21" t="n">
        <f aca="false">G13*12</f>
        <v>47700</v>
      </c>
      <c r="H14" s="21" t="n">
        <f aca="false">H13*12</f>
        <v>55632</v>
      </c>
      <c r="I14" s="21" t="n">
        <f aca="false">I13*12</f>
        <v>63264</v>
      </c>
      <c r="J14" s="21" t="n">
        <f aca="false">J13*12</f>
        <v>71904</v>
      </c>
      <c r="K14" s="21" t="n">
        <f aca="false">K13*12</f>
        <v>79836</v>
      </c>
      <c r="L14" s="21" t="n">
        <f aca="false">L13*12</f>
        <v>87468</v>
      </c>
      <c r="M14" s="21" t="n">
        <f aca="false">M13*12</f>
        <v>95400</v>
      </c>
      <c r="N14" s="21" t="n">
        <f aca="false">N13*12</f>
        <v>221232</v>
      </c>
      <c r="O14" s="21" t="n">
        <f aca="false">O13*12</f>
        <v>347364</v>
      </c>
      <c r="P14" s="21" t="n">
        <f aca="false">P13*12</f>
        <v>473904</v>
      </c>
      <c r="Q14" s="21" t="n">
        <f aca="false">Q13*12</f>
        <v>599736</v>
      </c>
      <c r="R14" s="21" t="n">
        <f aca="false">R13*12</f>
        <v>725868</v>
      </c>
      <c r="S14" s="21" t="n">
        <f aca="false">S13*12</f>
        <v>851700</v>
      </c>
      <c r="T14" s="21" t="n">
        <f aca="false">T13*12</f>
        <v>977532</v>
      </c>
      <c r="U14" s="21" t="n">
        <f aca="false">U13*12</f>
        <v>1103664</v>
      </c>
      <c r="V14" s="21" t="n">
        <f aca="false">V13*12</f>
        <v>1229496</v>
      </c>
      <c r="W14" s="21" t="n">
        <f aca="false">W13*12</f>
        <v>1356036</v>
      </c>
      <c r="X14" s="21" t="n">
        <f aca="false">X13*12</f>
        <v>1482168</v>
      </c>
      <c r="Y14" s="21" t="n">
        <f aca="false">Y13*12</f>
        <v>1608000</v>
      </c>
      <c r="Z14" s="21" t="n">
        <f aca="false">Z13*12</f>
        <v>2010000</v>
      </c>
      <c r="AA14" s="21" t="n">
        <f aca="false">AA13*12</f>
        <v>2412000</v>
      </c>
      <c r="AB14" s="21" t="n">
        <f aca="false">AB13*12</f>
        <v>2814000</v>
      </c>
      <c r="AC14" s="21" t="n">
        <f aca="false">AC13*12</f>
        <v>3216000</v>
      </c>
      <c r="AD14" s="21" t="n">
        <f aca="false">AD13*12</f>
        <v>3618000</v>
      </c>
      <c r="AE14" s="21" t="n">
        <f aca="false">AE13*12</f>
        <v>4020000</v>
      </c>
      <c r="AF14" s="21" t="n">
        <f aca="false">AF13*12</f>
        <v>4422000</v>
      </c>
      <c r="AG14" s="21" t="n">
        <f aca="false">AG13*12</f>
        <v>4824000</v>
      </c>
      <c r="AH14" s="21" t="n">
        <f aca="false">AH13*12</f>
        <v>5226000</v>
      </c>
      <c r="AI14" s="21" t="n">
        <f aca="false">AI13*12</f>
        <v>5628000</v>
      </c>
      <c r="AJ14" s="21" t="n">
        <f aca="false">AJ13*12</f>
        <v>6030000</v>
      </c>
      <c r="AK14" s="21" t="n">
        <f aca="false">AK13*12</f>
        <v>6432000</v>
      </c>
    </row>
    <row r="16" customFormat="false" ht="18" hidden="false" customHeight="true" outlineLevel="0" collapsed="false">
      <c r="A16" s="15" t="s">
        <v>53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customFormat="false" ht="15" hidden="false" customHeight="true" outlineLevel="0" collapsed="false">
      <c r="A17" s="17" t="s">
        <v>54</v>
      </c>
      <c r="B17" s="21" t="n">
        <f aca="false">B6*Assumptions!B20</f>
        <v>0</v>
      </c>
      <c r="C17" s="21" t="n">
        <f aca="false">C6*Assumptions!B20</f>
        <v>0</v>
      </c>
      <c r="D17" s="21" t="n">
        <f aca="false">D6*Assumptions!B20</f>
        <v>0</v>
      </c>
      <c r="E17" s="21" t="n">
        <f aca="false">E6*Assumptions!B20</f>
        <v>670</v>
      </c>
      <c r="F17" s="21" t="n">
        <f aca="false">F6*Assumptions!B20</f>
        <v>830</v>
      </c>
      <c r="G17" s="21" t="n">
        <f aca="false">G6*Assumptions!B20</f>
        <v>1000</v>
      </c>
      <c r="H17" s="21" t="n">
        <f aca="false">H6*Assumptions!B20</f>
        <v>1170</v>
      </c>
      <c r="I17" s="21" t="n">
        <f aca="false">I6*Assumptions!B20</f>
        <v>1330</v>
      </c>
      <c r="J17" s="21" t="n">
        <f aca="false">J6*Assumptions!B20</f>
        <v>1500</v>
      </c>
      <c r="K17" s="21" t="n">
        <f aca="false">K6*Assumptions!B20</f>
        <v>1670</v>
      </c>
      <c r="L17" s="21" t="n">
        <f aca="false">L6*Assumptions!B20</f>
        <v>1830</v>
      </c>
      <c r="M17" s="21" t="n">
        <f aca="false">M6*Assumptions!B20</f>
        <v>2000</v>
      </c>
      <c r="N17" s="21" t="n">
        <f aca="false">N6*Assumptions!B20</f>
        <v>4330</v>
      </c>
      <c r="O17" s="21" t="n">
        <f aca="false">O6*Assumptions!B20</f>
        <v>6670</v>
      </c>
      <c r="P17" s="21" t="n">
        <f aca="false">P6*Assumptions!B20</f>
        <v>9000</v>
      </c>
      <c r="Q17" s="21" t="n">
        <f aca="false">Q6*Assumptions!B20</f>
        <v>11330</v>
      </c>
      <c r="R17" s="21" t="n">
        <f aca="false">R6*Assumptions!B20</f>
        <v>13670</v>
      </c>
      <c r="S17" s="21" t="n">
        <f aca="false">S6*Assumptions!B20</f>
        <v>16000</v>
      </c>
      <c r="T17" s="21" t="n">
        <f aca="false">T6*Assumptions!B20</f>
        <v>18330</v>
      </c>
      <c r="U17" s="21" t="n">
        <f aca="false">U6*Assumptions!B20</f>
        <v>20670</v>
      </c>
      <c r="V17" s="21" t="n">
        <f aca="false">V6*Assumptions!B20</f>
        <v>23000</v>
      </c>
      <c r="W17" s="21" t="n">
        <f aca="false">W6*Assumptions!B20</f>
        <v>25330</v>
      </c>
      <c r="X17" s="21" t="n">
        <f aca="false">X6*Assumptions!B20</f>
        <v>27670</v>
      </c>
      <c r="Y17" s="21" t="n">
        <f aca="false">Y6*Assumptions!B20</f>
        <v>30000</v>
      </c>
      <c r="Z17" s="21" t="n">
        <f aca="false">Z6*Assumptions!B20</f>
        <v>37500</v>
      </c>
      <c r="AA17" s="21" t="n">
        <f aca="false">AA6*Assumptions!B20</f>
        <v>45000</v>
      </c>
      <c r="AB17" s="21" t="n">
        <f aca="false">AB6*Assumptions!B20</f>
        <v>52500</v>
      </c>
      <c r="AC17" s="21" t="n">
        <f aca="false">AC6*Assumptions!B20</f>
        <v>60000</v>
      </c>
      <c r="AD17" s="21" t="n">
        <f aca="false">AD6*Assumptions!B20</f>
        <v>67500</v>
      </c>
      <c r="AE17" s="21" t="n">
        <f aca="false">AE6*Assumptions!B20</f>
        <v>75000</v>
      </c>
      <c r="AF17" s="21" t="n">
        <f aca="false">AF6*Assumptions!B20</f>
        <v>82500</v>
      </c>
      <c r="AG17" s="21" t="n">
        <f aca="false">AG6*Assumptions!B20</f>
        <v>90000</v>
      </c>
      <c r="AH17" s="21" t="n">
        <f aca="false">AH6*Assumptions!B20</f>
        <v>97500</v>
      </c>
      <c r="AI17" s="21" t="n">
        <f aca="false">AI6*Assumptions!B20</f>
        <v>105000</v>
      </c>
      <c r="AJ17" s="21" t="n">
        <f aca="false">AJ6*Assumptions!B20</f>
        <v>112500</v>
      </c>
      <c r="AK17" s="21" t="n">
        <f aca="false">AK6*Assumptions!B20</f>
        <v>120000</v>
      </c>
    </row>
    <row r="18" customFormat="false" ht="15" hidden="false" customHeight="true" outlineLevel="0" collapsed="false">
      <c r="A18" s="17" t="s">
        <v>55</v>
      </c>
      <c r="B18" s="21" t="n">
        <f aca="false">B7*Assumptions!C20</f>
        <v>0</v>
      </c>
      <c r="C18" s="21" t="n">
        <f aca="false">C7*Assumptions!C20</f>
        <v>0</v>
      </c>
      <c r="D18" s="21" t="n">
        <f aca="false">D7*Assumptions!C20</f>
        <v>0</v>
      </c>
      <c r="E18" s="21" t="n">
        <f aca="false">E7*Assumptions!C20</f>
        <v>323</v>
      </c>
      <c r="F18" s="21" t="n">
        <f aca="false">F7*Assumptions!C20</f>
        <v>399</v>
      </c>
      <c r="G18" s="21" t="n">
        <f aca="false">G7*Assumptions!C20</f>
        <v>475</v>
      </c>
      <c r="H18" s="21" t="n">
        <f aca="false">H7*Assumptions!C20</f>
        <v>551</v>
      </c>
      <c r="I18" s="21" t="n">
        <f aca="false">I7*Assumptions!C20</f>
        <v>627</v>
      </c>
      <c r="J18" s="21" t="n">
        <f aca="false">J7*Assumptions!C20</f>
        <v>722</v>
      </c>
      <c r="K18" s="21" t="n">
        <f aca="false">K7*Assumptions!C20</f>
        <v>798</v>
      </c>
      <c r="L18" s="21" t="n">
        <f aca="false">L7*Assumptions!C20</f>
        <v>874</v>
      </c>
      <c r="M18" s="21" t="n">
        <f aca="false">M7*Assumptions!C20</f>
        <v>950</v>
      </c>
      <c r="N18" s="21" t="n">
        <f aca="false">N7*Assumptions!C20</f>
        <v>2451</v>
      </c>
      <c r="O18" s="21" t="n">
        <f aca="false">O7*Assumptions!C20</f>
        <v>3952</v>
      </c>
      <c r="P18" s="21" t="n">
        <f aca="false">P7*Assumptions!C20</f>
        <v>5472</v>
      </c>
      <c r="Q18" s="21" t="n">
        <f aca="false">Q7*Assumptions!C20</f>
        <v>6973</v>
      </c>
      <c r="R18" s="21" t="n">
        <f aca="false">R7*Assumptions!C20</f>
        <v>8474</v>
      </c>
      <c r="S18" s="21" t="n">
        <f aca="false">S7*Assumptions!C20</f>
        <v>9975</v>
      </c>
      <c r="T18" s="21" t="n">
        <f aca="false">T7*Assumptions!C20</f>
        <v>11476</v>
      </c>
      <c r="U18" s="21" t="n">
        <f aca="false">U7*Assumptions!C20</f>
        <v>12977</v>
      </c>
      <c r="V18" s="21" t="n">
        <f aca="false">V7*Assumptions!C20</f>
        <v>14478</v>
      </c>
      <c r="W18" s="21" t="n">
        <f aca="false">W7*Assumptions!C20</f>
        <v>15998</v>
      </c>
      <c r="X18" s="21" t="n">
        <f aca="false">X7*Assumptions!C20</f>
        <v>17499</v>
      </c>
      <c r="Y18" s="21" t="n">
        <f aca="false">Y7*Assumptions!C20</f>
        <v>19000</v>
      </c>
      <c r="Z18" s="21" t="n">
        <f aca="false">Z7*Assumptions!C20</f>
        <v>23750</v>
      </c>
      <c r="AA18" s="21" t="n">
        <f aca="false">AA7*Assumptions!C20</f>
        <v>28500</v>
      </c>
      <c r="AB18" s="21" t="n">
        <f aca="false">AB7*Assumptions!C20</f>
        <v>33250</v>
      </c>
      <c r="AC18" s="21" t="n">
        <f aca="false">AC7*Assumptions!C20</f>
        <v>38000</v>
      </c>
      <c r="AD18" s="21" t="n">
        <f aca="false">AD7*Assumptions!C20</f>
        <v>42750</v>
      </c>
      <c r="AE18" s="21" t="n">
        <f aca="false">AE7*Assumptions!C20</f>
        <v>47500</v>
      </c>
      <c r="AF18" s="21" t="n">
        <f aca="false">AF7*Assumptions!C20</f>
        <v>52250</v>
      </c>
      <c r="AG18" s="21" t="n">
        <f aca="false">AG7*Assumptions!C20</f>
        <v>57000</v>
      </c>
      <c r="AH18" s="21" t="n">
        <f aca="false">AH7*Assumptions!C20</f>
        <v>61750</v>
      </c>
      <c r="AI18" s="21" t="n">
        <f aca="false">AI7*Assumptions!C20</f>
        <v>66500</v>
      </c>
      <c r="AJ18" s="21" t="n">
        <f aca="false">AJ7*Assumptions!C20</f>
        <v>71250</v>
      </c>
      <c r="AK18" s="21" t="n">
        <f aca="false">AK7*Assumptions!C20</f>
        <v>76000</v>
      </c>
    </row>
    <row r="19" customFormat="false" ht="15" hidden="false" customHeight="true" outlineLevel="0" collapsed="false">
      <c r="A19" s="19" t="s">
        <v>56</v>
      </c>
      <c r="B19" s="22" t="n">
        <f aca="false">B17+B18</f>
        <v>0</v>
      </c>
      <c r="C19" s="22" t="n">
        <f aca="false">C17+C18</f>
        <v>0</v>
      </c>
      <c r="D19" s="22" t="n">
        <f aca="false">D17+D18</f>
        <v>0</v>
      </c>
      <c r="E19" s="22" t="n">
        <f aca="false">E17+E18</f>
        <v>993</v>
      </c>
      <c r="F19" s="22" t="n">
        <f aca="false">F17+F18</f>
        <v>1229</v>
      </c>
      <c r="G19" s="22" t="n">
        <f aca="false">G17+G18</f>
        <v>1475</v>
      </c>
      <c r="H19" s="22" t="n">
        <f aca="false">H17+H18</f>
        <v>1721</v>
      </c>
      <c r="I19" s="22" t="n">
        <f aca="false">I17+I18</f>
        <v>1957</v>
      </c>
      <c r="J19" s="22" t="n">
        <f aca="false">J17+J18</f>
        <v>2222</v>
      </c>
      <c r="K19" s="22" t="n">
        <f aca="false">K17+K18</f>
        <v>2468</v>
      </c>
      <c r="L19" s="22" t="n">
        <f aca="false">L17+L18</f>
        <v>2704</v>
      </c>
      <c r="M19" s="22" t="n">
        <f aca="false">M17+M18</f>
        <v>2950</v>
      </c>
      <c r="N19" s="22" t="n">
        <f aca="false">N17+N18</f>
        <v>6781</v>
      </c>
      <c r="O19" s="22" t="n">
        <f aca="false">O17+O18</f>
        <v>10622</v>
      </c>
      <c r="P19" s="22" t="n">
        <f aca="false">P17+P18</f>
        <v>14472</v>
      </c>
      <c r="Q19" s="22" t="n">
        <f aca="false">Q17+Q18</f>
        <v>18303</v>
      </c>
      <c r="R19" s="22" t="n">
        <f aca="false">R17+R18</f>
        <v>22144</v>
      </c>
      <c r="S19" s="22" t="n">
        <f aca="false">S17+S18</f>
        <v>25975</v>
      </c>
      <c r="T19" s="22" t="n">
        <f aca="false">T17+T18</f>
        <v>29806</v>
      </c>
      <c r="U19" s="22" t="n">
        <f aca="false">U17+U18</f>
        <v>33647</v>
      </c>
      <c r="V19" s="22" t="n">
        <f aca="false">V17+V18</f>
        <v>37478</v>
      </c>
      <c r="W19" s="22" t="n">
        <f aca="false">W17+W18</f>
        <v>41328</v>
      </c>
      <c r="X19" s="22" t="n">
        <f aca="false">X17+X18</f>
        <v>45169</v>
      </c>
      <c r="Y19" s="22" t="n">
        <f aca="false">Y17+Y18</f>
        <v>49000</v>
      </c>
      <c r="Z19" s="22" t="n">
        <f aca="false">Z17+Z18</f>
        <v>61250</v>
      </c>
      <c r="AA19" s="22" t="n">
        <f aca="false">AA17+AA18</f>
        <v>73500</v>
      </c>
      <c r="AB19" s="22" t="n">
        <f aca="false">AB17+AB18</f>
        <v>85750</v>
      </c>
      <c r="AC19" s="22" t="n">
        <f aca="false">AC17+AC18</f>
        <v>98000</v>
      </c>
      <c r="AD19" s="22" t="n">
        <f aca="false">AD17+AD18</f>
        <v>110250</v>
      </c>
      <c r="AE19" s="22" t="n">
        <f aca="false">AE17+AE18</f>
        <v>122500</v>
      </c>
      <c r="AF19" s="22" t="n">
        <f aca="false">AF17+AF18</f>
        <v>134750</v>
      </c>
      <c r="AG19" s="22" t="n">
        <f aca="false">AG17+AG18</f>
        <v>147000</v>
      </c>
      <c r="AH19" s="22" t="n">
        <f aca="false">AH17+AH18</f>
        <v>159250</v>
      </c>
      <c r="AI19" s="22" t="n">
        <f aca="false">AI17+AI18</f>
        <v>171500</v>
      </c>
      <c r="AJ19" s="22" t="n">
        <f aca="false">AJ17+AJ18</f>
        <v>183750</v>
      </c>
      <c r="AK19" s="22" t="n">
        <f aca="false">AK17+AK18</f>
        <v>196000</v>
      </c>
    </row>
    <row r="20" customFormat="false" ht="15" hidden="false" customHeight="true" outlineLevel="0" collapsed="false">
      <c r="A20" s="19" t="s">
        <v>57</v>
      </c>
      <c r="B20" s="22" t="n">
        <f aca="false">B13-B19</f>
        <v>0</v>
      </c>
      <c r="C20" s="22" t="n">
        <f aca="false">C13-C19</f>
        <v>0</v>
      </c>
      <c r="D20" s="22" t="n">
        <f aca="false">D13-D19</f>
        <v>0</v>
      </c>
      <c r="E20" s="22" t="n">
        <f aca="false">E13-E19</f>
        <v>1685</v>
      </c>
      <c r="F20" s="22" t="n">
        <f aca="false">F13-F19</f>
        <v>2085</v>
      </c>
      <c r="G20" s="22" t="n">
        <f aca="false">G13-G19</f>
        <v>2500</v>
      </c>
      <c r="H20" s="22" t="n">
        <f aca="false">H13-H19</f>
        <v>2915</v>
      </c>
      <c r="I20" s="22" t="n">
        <f aca="false">I13-I19</f>
        <v>3315</v>
      </c>
      <c r="J20" s="22" t="n">
        <f aca="false">J13-J19</f>
        <v>3770</v>
      </c>
      <c r="K20" s="22" t="n">
        <f aca="false">K13-K19</f>
        <v>4185</v>
      </c>
      <c r="L20" s="22" t="n">
        <f aca="false">L13-L19</f>
        <v>4585</v>
      </c>
      <c r="M20" s="22" t="n">
        <f aca="false">M13-M19</f>
        <v>5000</v>
      </c>
      <c r="N20" s="22" t="n">
        <f aca="false">N13-N19</f>
        <v>11655</v>
      </c>
      <c r="O20" s="22" t="n">
        <f aca="false">O13-O19</f>
        <v>18325</v>
      </c>
      <c r="P20" s="22" t="n">
        <f aca="false">P13-P19</f>
        <v>25020</v>
      </c>
      <c r="Q20" s="22" t="n">
        <f aca="false">Q13-Q19</f>
        <v>31675</v>
      </c>
      <c r="R20" s="22" t="n">
        <f aca="false">R13-R19</f>
        <v>38345</v>
      </c>
      <c r="S20" s="22" t="n">
        <f aca="false">S13-S19</f>
        <v>45000</v>
      </c>
      <c r="T20" s="22" t="n">
        <f aca="false">T13-T19</f>
        <v>51655</v>
      </c>
      <c r="U20" s="22" t="n">
        <f aca="false">U13-U19</f>
        <v>58325</v>
      </c>
      <c r="V20" s="22" t="n">
        <f aca="false">V13-V19</f>
        <v>64980</v>
      </c>
      <c r="W20" s="22" t="n">
        <f aca="false">W13-W19</f>
        <v>71675</v>
      </c>
      <c r="X20" s="22" t="n">
        <f aca="false">X13-X19</f>
        <v>78345</v>
      </c>
      <c r="Y20" s="22" t="n">
        <f aca="false">Y13-Y19</f>
        <v>85000</v>
      </c>
      <c r="Z20" s="22" t="n">
        <f aca="false">Z13-Z19</f>
        <v>106250</v>
      </c>
      <c r="AA20" s="22" t="n">
        <f aca="false">AA13-AA19</f>
        <v>127500</v>
      </c>
      <c r="AB20" s="22" t="n">
        <f aca="false">AB13-AB19</f>
        <v>148750</v>
      </c>
      <c r="AC20" s="22" t="n">
        <f aca="false">AC13-AC19</f>
        <v>170000</v>
      </c>
      <c r="AD20" s="22" t="n">
        <f aca="false">AD13-AD19</f>
        <v>191250</v>
      </c>
      <c r="AE20" s="22" t="n">
        <f aca="false">AE13-AE19</f>
        <v>212500</v>
      </c>
      <c r="AF20" s="22" t="n">
        <f aca="false">AF13-AF19</f>
        <v>233750</v>
      </c>
      <c r="AG20" s="22" t="n">
        <f aca="false">AG13-AG19</f>
        <v>255000</v>
      </c>
      <c r="AH20" s="22" t="n">
        <f aca="false">AH13-AH19</f>
        <v>276250</v>
      </c>
      <c r="AI20" s="22" t="n">
        <f aca="false">AI13-AI19</f>
        <v>297500</v>
      </c>
      <c r="AJ20" s="22" t="n">
        <f aca="false">AJ13-AJ19</f>
        <v>318750</v>
      </c>
      <c r="AK20" s="22" t="n">
        <f aca="false">AK13-AK19</f>
        <v>340000</v>
      </c>
    </row>
    <row r="21" customFormat="false" ht="15" hidden="false" customHeight="true" outlineLevel="0" collapsed="false">
      <c r="A21" s="17" t="s">
        <v>58</v>
      </c>
      <c r="B21" s="23" t="n">
        <f aca="false">IF(B13=0,0,B20/B13)</f>
        <v>0</v>
      </c>
      <c r="C21" s="23" t="n">
        <f aca="false">IF(C13=0,0,C20/C13)</f>
        <v>0</v>
      </c>
      <c r="D21" s="23" t="n">
        <f aca="false">IF(D13=0,0,D20/D13)</f>
        <v>0</v>
      </c>
      <c r="E21" s="23" t="n">
        <f aca="false">IF(E13=0,0,E20/E13)</f>
        <v>0.629200896191188</v>
      </c>
      <c r="F21" s="23" t="n">
        <f aca="false">IF(F13=0,0,F20/F13)</f>
        <v>0.629149064574532</v>
      </c>
      <c r="G21" s="23" t="n">
        <f aca="false">IF(G13=0,0,G20/G13)</f>
        <v>0.628930817610063</v>
      </c>
      <c r="H21" s="23" t="n">
        <f aca="false">IF(H13=0,0,H20/H13)</f>
        <v>0.628774805867127</v>
      </c>
      <c r="I21" s="23" t="n">
        <f aca="false">IF(I13=0,0,I20/I13)</f>
        <v>0.628793626707132</v>
      </c>
      <c r="J21" s="23" t="n">
        <f aca="false">IF(J13=0,0,J20/J13)</f>
        <v>0.629172229639519</v>
      </c>
      <c r="K21" s="23" t="n">
        <f aca="false">IF(K13=0,0,K20/K13)</f>
        <v>0.629039531038629</v>
      </c>
      <c r="L21" s="23" t="n">
        <f aca="false">IF(L13=0,0,L20/L13)</f>
        <v>0.6290300452737</v>
      </c>
      <c r="M21" s="23" t="n">
        <f aca="false">IF(M13=0,0,M20/M13)</f>
        <v>0.628930817610063</v>
      </c>
      <c r="N21" s="23" t="n">
        <f aca="false">IF(N13=0,0,N20/N13)</f>
        <v>0.632187025385116</v>
      </c>
      <c r="O21" s="23" t="n">
        <f aca="false">IF(O13=0,0,O20/O13)</f>
        <v>0.633053511590148</v>
      </c>
      <c r="P21" s="23" t="n">
        <f aca="false">IF(P13=0,0,P20/P13)</f>
        <v>0.633546034639927</v>
      </c>
      <c r="Q21" s="23" t="n">
        <f aca="false">IF(Q13=0,0,Q20/Q13)</f>
        <v>0.633778862699588</v>
      </c>
      <c r="R21" s="23" t="n">
        <f aca="false">IF(R13=0,0,R20/R13)</f>
        <v>0.633916910512655</v>
      </c>
      <c r="S21" s="23" t="n">
        <f aca="false">IF(S13=0,0,S20/S13)</f>
        <v>0.634026065516027</v>
      </c>
      <c r="T21" s="23" t="n">
        <f aca="false">IF(T13=0,0,T20/T13)</f>
        <v>0.634107118743939</v>
      </c>
      <c r="U21" s="23" t="n">
        <f aca="false">IF(U13=0,0,U20/U13)</f>
        <v>0.634160396642456</v>
      </c>
      <c r="V21" s="23" t="n">
        <f aca="false">IF(V13=0,0,V20/V13)</f>
        <v>0.634211091374026</v>
      </c>
      <c r="W21" s="23" t="n">
        <f aca="false">IF(W13=0,0,W20/W13)</f>
        <v>0.634275196233728</v>
      </c>
      <c r="X21" s="23" t="n">
        <f aca="false">IF(X13=0,0,X20/X13)</f>
        <v>0.634300565118124</v>
      </c>
      <c r="Y21" s="23" t="n">
        <f aca="false">IF(Y13=0,0,Y20/Y13)</f>
        <v>0.634328358208955</v>
      </c>
      <c r="Z21" s="23" t="n">
        <f aca="false">IF(Z13=0,0,Z20/Z13)</f>
        <v>0.634328358208955</v>
      </c>
      <c r="AA21" s="23" t="n">
        <f aca="false">IF(AA13=0,0,AA20/AA13)</f>
        <v>0.634328358208955</v>
      </c>
      <c r="AB21" s="23" t="n">
        <f aca="false">IF(AB13=0,0,AB20/AB13)</f>
        <v>0.634328358208955</v>
      </c>
      <c r="AC21" s="23" t="n">
        <f aca="false">IF(AC13=0,0,AC20/AC13)</f>
        <v>0.634328358208955</v>
      </c>
      <c r="AD21" s="23" t="n">
        <f aca="false">IF(AD13=0,0,AD20/AD13)</f>
        <v>0.634328358208955</v>
      </c>
      <c r="AE21" s="23" t="n">
        <f aca="false">IF(AE13=0,0,AE20/AE13)</f>
        <v>0.634328358208955</v>
      </c>
      <c r="AF21" s="23" t="n">
        <f aca="false">IF(AF13=0,0,AF20/AF13)</f>
        <v>0.634328358208955</v>
      </c>
      <c r="AG21" s="23" t="n">
        <f aca="false">IF(AG13=0,0,AG20/AG13)</f>
        <v>0.634328358208955</v>
      </c>
      <c r="AH21" s="23" t="n">
        <f aca="false">IF(AH13=0,0,AH20/AH13)</f>
        <v>0.634328358208955</v>
      </c>
      <c r="AI21" s="23" t="n">
        <f aca="false">IF(AI13=0,0,AI20/AI13)</f>
        <v>0.634328358208955</v>
      </c>
      <c r="AJ21" s="23" t="n">
        <f aca="false">IF(AJ13=0,0,AJ20/AJ13)</f>
        <v>0.634328358208955</v>
      </c>
      <c r="AK21" s="23" t="n">
        <f aca="false">IF(AK13=0,0,AK20/AK13)</f>
        <v>0.634328358208955</v>
      </c>
    </row>
    <row r="23" customFormat="false" ht="18" hidden="false" customHeight="true" outlineLevel="0" collapsed="false">
      <c r="A23" s="15" t="s">
        <v>59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customFormat="false" ht="15" hidden="false" customHeight="true" outlineLevel="0" collapsed="false">
      <c r="A24" s="17" t="s">
        <v>60</v>
      </c>
      <c r="B24" s="21" t="n">
        <f aca="false">Assumptions!B23</f>
        <v>150</v>
      </c>
      <c r="C24" s="21" t="n">
        <f aca="false">Assumptions!B23</f>
        <v>150</v>
      </c>
      <c r="D24" s="21" t="n">
        <f aca="false">Assumptions!B23</f>
        <v>150</v>
      </c>
      <c r="E24" s="21" t="n">
        <f aca="false">Assumptions!B23</f>
        <v>150</v>
      </c>
      <c r="F24" s="21" t="n">
        <f aca="false">Assumptions!B23</f>
        <v>150</v>
      </c>
      <c r="G24" s="21" t="n">
        <f aca="false">Assumptions!B23</f>
        <v>150</v>
      </c>
      <c r="H24" s="21" t="n">
        <f aca="false">Assumptions!B23</f>
        <v>150</v>
      </c>
      <c r="I24" s="21" t="n">
        <f aca="false">Assumptions!B23</f>
        <v>150</v>
      </c>
      <c r="J24" s="21" t="n">
        <f aca="false">Assumptions!B23</f>
        <v>150</v>
      </c>
      <c r="K24" s="21" t="n">
        <f aca="false">Assumptions!B23</f>
        <v>150</v>
      </c>
      <c r="L24" s="21" t="n">
        <f aca="false">Assumptions!B23</f>
        <v>150</v>
      </c>
      <c r="M24" s="21" t="n">
        <f aca="false">Assumptions!B23</f>
        <v>150</v>
      </c>
      <c r="N24" s="21" t="n">
        <f aca="false">Assumptions!B23</f>
        <v>150</v>
      </c>
      <c r="O24" s="21" t="n">
        <f aca="false">Assumptions!B23</f>
        <v>150</v>
      </c>
      <c r="P24" s="21" t="n">
        <f aca="false">Assumptions!B23</f>
        <v>150</v>
      </c>
      <c r="Q24" s="21" t="n">
        <f aca="false">Assumptions!B23</f>
        <v>150</v>
      </c>
      <c r="R24" s="21" t="n">
        <f aca="false">Assumptions!B23</f>
        <v>150</v>
      </c>
      <c r="S24" s="21" t="n">
        <f aca="false">Assumptions!B23</f>
        <v>150</v>
      </c>
      <c r="T24" s="21" t="n">
        <f aca="false">Assumptions!B23</f>
        <v>150</v>
      </c>
      <c r="U24" s="21" t="n">
        <f aca="false">Assumptions!B23</f>
        <v>150</v>
      </c>
      <c r="V24" s="21" t="n">
        <f aca="false">Assumptions!B23</f>
        <v>150</v>
      </c>
      <c r="W24" s="21" t="n">
        <f aca="false">Assumptions!B23</f>
        <v>150</v>
      </c>
      <c r="X24" s="21" t="n">
        <f aca="false">Assumptions!B23</f>
        <v>150</v>
      </c>
      <c r="Y24" s="21" t="n">
        <f aca="false">Assumptions!B23</f>
        <v>150</v>
      </c>
      <c r="Z24" s="21" t="n">
        <f aca="false">Assumptions!B23</f>
        <v>150</v>
      </c>
      <c r="AA24" s="21" t="n">
        <f aca="false">Assumptions!B23</f>
        <v>150</v>
      </c>
      <c r="AB24" s="21" t="n">
        <f aca="false">Assumptions!B23</f>
        <v>150</v>
      </c>
      <c r="AC24" s="21" t="n">
        <f aca="false">Assumptions!B23</f>
        <v>150</v>
      </c>
      <c r="AD24" s="21" t="n">
        <f aca="false">Assumptions!B23</f>
        <v>150</v>
      </c>
      <c r="AE24" s="21" t="n">
        <f aca="false">Assumptions!B23</f>
        <v>150</v>
      </c>
      <c r="AF24" s="21" t="n">
        <f aca="false">Assumptions!B23</f>
        <v>150</v>
      </c>
      <c r="AG24" s="21" t="n">
        <f aca="false">Assumptions!B23</f>
        <v>150</v>
      </c>
      <c r="AH24" s="21" t="n">
        <f aca="false">Assumptions!B23</f>
        <v>150</v>
      </c>
      <c r="AI24" s="21" t="n">
        <f aca="false">Assumptions!B23</f>
        <v>150</v>
      </c>
      <c r="AJ24" s="21" t="n">
        <f aca="false">Assumptions!B23</f>
        <v>150</v>
      </c>
      <c r="AK24" s="21" t="n">
        <f aca="false">Assumptions!B23</f>
        <v>150</v>
      </c>
    </row>
    <row r="25" customFormat="false" ht="15" hidden="false" customHeight="true" outlineLevel="0" collapsed="false">
      <c r="A25" s="17" t="s">
        <v>61</v>
      </c>
      <c r="B25" s="21" t="n">
        <f aca="false">Assumptions!B24</f>
        <v>100</v>
      </c>
      <c r="C25" s="21" t="n">
        <f aca="false">Assumptions!B24</f>
        <v>100</v>
      </c>
      <c r="D25" s="21" t="n">
        <f aca="false">Assumptions!B24</f>
        <v>100</v>
      </c>
      <c r="E25" s="21" t="n">
        <f aca="false">Assumptions!B24</f>
        <v>100</v>
      </c>
      <c r="F25" s="21" t="n">
        <f aca="false">Assumptions!B24</f>
        <v>100</v>
      </c>
      <c r="G25" s="21" t="n">
        <f aca="false">Assumptions!B24</f>
        <v>100</v>
      </c>
      <c r="H25" s="21" t="n">
        <f aca="false">Assumptions!B24</f>
        <v>100</v>
      </c>
      <c r="I25" s="21" t="n">
        <f aca="false">Assumptions!B24</f>
        <v>100</v>
      </c>
      <c r="J25" s="21" t="n">
        <f aca="false">Assumptions!B24</f>
        <v>100</v>
      </c>
      <c r="K25" s="21" t="n">
        <f aca="false">Assumptions!B24</f>
        <v>100</v>
      </c>
      <c r="L25" s="21" t="n">
        <f aca="false">Assumptions!B24</f>
        <v>100</v>
      </c>
      <c r="M25" s="21" t="n">
        <f aca="false">Assumptions!B24</f>
        <v>100</v>
      </c>
      <c r="N25" s="21" t="n">
        <f aca="false">Assumptions!B24</f>
        <v>100</v>
      </c>
      <c r="O25" s="21" t="n">
        <f aca="false">Assumptions!B24</f>
        <v>100</v>
      </c>
      <c r="P25" s="21" t="n">
        <f aca="false">Assumptions!B24</f>
        <v>100</v>
      </c>
      <c r="Q25" s="21" t="n">
        <f aca="false">Assumptions!B24</f>
        <v>100</v>
      </c>
      <c r="R25" s="21" t="n">
        <f aca="false">Assumptions!B24</f>
        <v>100</v>
      </c>
      <c r="S25" s="21" t="n">
        <f aca="false">Assumptions!B24</f>
        <v>100</v>
      </c>
      <c r="T25" s="21" t="n">
        <f aca="false">Assumptions!B24</f>
        <v>100</v>
      </c>
      <c r="U25" s="21" t="n">
        <f aca="false">Assumptions!B24</f>
        <v>100</v>
      </c>
      <c r="V25" s="21" t="n">
        <f aca="false">Assumptions!B24</f>
        <v>100</v>
      </c>
      <c r="W25" s="21" t="n">
        <f aca="false">Assumptions!B24</f>
        <v>100</v>
      </c>
      <c r="X25" s="21" t="n">
        <f aca="false">Assumptions!B24</f>
        <v>100</v>
      </c>
      <c r="Y25" s="21" t="n">
        <f aca="false">Assumptions!B24</f>
        <v>100</v>
      </c>
      <c r="Z25" s="21" t="n">
        <f aca="false">Assumptions!B24</f>
        <v>100</v>
      </c>
      <c r="AA25" s="21" t="n">
        <f aca="false">Assumptions!B24</f>
        <v>100</v>
      </c>
      <c r="AB25" s="21" t="n">
        <f aca="false">Assumptions!B24</f>
        <v>100</v>
      </c>
      <c r="AC25" s="21" t="n">
        <f aca="false">Assumptions!B24</f>
        <v>100</v>
      </c>
      <c r="AD25" s="21" t="n">
        <f aca="false">Assumptions!B24</f>
        <v>100</v>
      </c>
      <c r="AE25" s="21" t="n">
        <f aca="false">Assumptions!B24</f>
        <v>100</v>
      </c>
      <c r="AF25" s="21" t="n">
        <f aca="false">Assumptions!B24</f>
        <v>100</v>
      </c>
      <c r="AG25" s="21" t="n">
        <f aca="false">Assumptions!B24</f>
        <v>100</v>
      </c>
      <c r="AH25" s="21" t="n">
        <f aca="false">Assumptions!B24</f>
        <v>100</v>
      </c>
      <c r="AI25" s="21" t="n">
        <f aca="false">Assumptions!B24</f>
        <v>100</v>
      </c>
      <c r="AJ25" s="21" t="n">
        <f aca="false">Assumptions!B24</f>
        <v>100</v>
      </c>
      <c r="AK25" s="21" t="n">
        <f aca="false">Assumptions!B24</f>
        <v>100</v>
      </c>
    </row>
    <row r="26" customFormat="false" ht="15" hidden="false" customHeight="true" outlineLevel="0" collapsed="false">
      <c r="A26" s="17" t="s">
        <v>62</v>
      </c>
      <c r="B26" s="21" t="n">
        <f aca="false">Assumptions!B25</f>
        <v>200</v>
      </c>
      <c r="C26" s="21" t="n">
        <f aca="false">Assumptions!B25</f>
        <v>200</v>
      </c>
      <c r="D26" s="21" t="n">
        <f aca="false">Assumptions!B25</f>
        <v>200</v>
      </c>
      <c r="E26" s="21" t="n">
        <f aca="false">Assumptions!B25</f>
        <v>200</v>
      </c>
      <c r="F26" s="21" t="n">
        <f aca="false">Assumptions!B25</f>
        <v>200</v>
      </c>
      <c r="G26" s="21" t="n">
        <f aca="false">Assumptions!B25</f>
        <v>200</v>
      </c>
      <c r="H26" s="21" t="n">
        <f aca="false">Assumptions!B25</f>
        <v>200</v>
      </c>
      <c r="I26" s="21" t="n">
        <f aca="false">Assumptions!B25</f>
        <v>200</v>
      </c>
      <c r="J26" s="21" t="n">
        <f aca="false">Assumptions!B25</f>
        <v>200</v>
      </c>
      <c r="K26" s="21" t="n">
        <f aca="false">Assumptions!B25</f>
        <v>200</v>
      </c>
      <c r="L26" s="21" t="n">
        <f aca="false">Assumptions!B25</f>
        <v>200</v>
      </c>
      <c r="M26" s="21" t="n">
        <f aca="false">Assumptions!B25</f>
        <v>200</v>
      </c>
      <c r="N26" s="21" t="n">
        <f aca="false">Assumptions!B25</f>
        <v>200</v>
      </c>
      <c r="O26" s="21" t="n">
        <f aca="false">Assumptions!B25</f>
        <v>200</v>
      </c>
      <c r="P26" s="21" t="n">
        <f aca="false">Assumptions!B25</f>
        <v>200</v>
      </c>
      <c r="Q26" s="21" t="n">
        <f aca="false">Assumptions!B25</f>
        <v>200</v>
      </c>
      <c r="R26" s="21" t="n">
        <f aca="false">Assumptions!B25</f>
        <v>200</v>
      </c>
      <c r="S26" s="21" t="n">
        <f aca="false">Assumptions!B25</f>
        <v>200</v>
      </c>
      <c r="T26" s="21" t="n">
        <f aca="false">Assumptions!B25</f>
        <v>200</v>
      </c>
      <c r="U26" s="21" t="n">
        <f aca="false">Assumptions!B25</f>
        <v>200</v>
      </c>
      <c r="V26" s="21" t="n">
        <f aca="false">Assumptions!B25</f>
        <v>200</v>
      </c>
      <c r="W26" s="21" t="n">
        <f aca="false">Assumptions!B25</f>
        <v>200</v>
      </c>
      <c r="X26" s="21" t="n">
        <f aca="false">Assumptions!B25</f>
        <v>200</v>
      </c>
      <c r="Y26" s="21" t="n">
        <f aca="false">Assumptions!B25</f>
        <v>200</v>
      </c>
      <c r="Z26" s="21" t="n">
        <f aca="false">Assumptions!B25</f>
        <v>200</v>
      </c>
      <c r="AA26" s="21" t="n">
        <f aca="false">Assumptions!B25</f>
        <v>200</v>
      </c>
      <c r="AB26" s="21" t="n">
        <f aca="false">Assumptions!B25</f>
        <v>200</v>
      </c>
      <c r="AC26" s="21" t="n">
        <f aca="false">Assumptions!B25</f>
        <v>200</v>
      </c>
      <c r="AD26" s="21" t="n">
        <f aca="false">Assumptions!B25</f>
        <v>200</v>
      </c>
      <c r="AE26" s="21" t="n">
        <f aca="false">Assumptions!B25</f>
        <v>200</v>
      </c>
      <c r="AF26" s="21" t="n">
        <f aca="false">Assumptions!B25</f>
        <v>200</v>
      </c>
      <c r="AG26" s="21" t="n">
        <f aca="false">Assumptions!B25</f>
        <v>200</v>
      </c>
      <c r="AH26" s="21" t="n">
        <f aca="false">Assumptions!B25</f>
        <v>200</v>
      </c>
      <c r="AI26" s="21" t="n">
        <f aca="false">Assumptions!B25</f>
        <v>200</v>
      </c>
      <c r="AJ26" s="21" t="n">
        <f aca="false">Assumptions!B25</f>
        <v>200</v>
      </c>
      <c r="AK26" s="21" t="n">
        <f aca="false">Assumptions!B25</f>
        <v>200</v>
      </c>
    </row>
    <row r="27" customFormat="false" ht="15" hidden="false" customHeight="true" outlineLevel="0" collapsed="false">
      <c r="A27" s="17" t="s">
        <v>63</v>
      </c>
      <c r="B27" s="21" t="n">
        <f aca="false">Assumptions!B26</f>
        <v>500</v>
      </c>
      <c r="C27" s="21" t="n">
        <f aca="false">Assumptions!B26</f>
        <v>500</v>
      </c>
      <c r="D27" s="21" t="n">
        <f aca="false">Assumptions!B26</f>
        <v>500</v>
      </c>
      <c r="E27" s="21" t="n">
        <f aca="false">Assumptions!B26</f>
        <v>500</v>
      </c>
      <c r="F27" s="21" t="n">
        <f aca="false">Assumptions!B26</f>
        <v>500</v>
      </c>
      <c r="G27" s="21" t="n">
        <f aca="false">Assumptions!B26</f>
        <v>500</v>
      </c>
      <c r="H27" s="21" t="n">
        <f aca="false">Assumptions!B26</f>
        <v>500</v>
      </c>
      <c r="I27" s="21" t="n">
        <f aca="false">Assumptions!B26</f>
        <v>500</v>
      </c>
      <c r="J27" s="21" t="n">
        <f aca="false">Assumptions!B26</f>
        <v>500</v>
      </c>
      <c r="K27" s="21" t="n">
        <f aca="false">Assumptions!B26</f>
        <v>500</v>
      </c>
      <c r="L27" s="21" t="n">
        <f aca="false">Assumptions!B26</f>
        <v>500</v>
      </c>
      <c r="M27" s="21" t="n">
        <f aca="false">Assumptions!B26</f>
        <v>500</v>
      </c>
      <c r="N27" s="21" t="n">
        <f aca="false">Assumptions!B26</f>
        <v>500</v>
      </c>
      <c r="O27" s="21" t="n">
        <f aca="false">Assumptions!B26</f>
        <v>500</v>
      </c>
      <c r="P27" s="21" t="n">
        <f aca="false">Assumptions!B26</f>
        <v>500</v>
      </c>
      <c r="Q27" s="21" t="n">
        <f aca="false">Assumptions!B26</f>
        <v>500</v>
      </c>
      <c r="R27" s="21" t="n">
        <f aca="false">Assumptions!B26</f>
        <v>500</v>
      </c>
      <c r="S27" s="21" t="n">
        <f aca="false">Assumptions!B26</f>
        <v>500</v>
      </c>
      <c r="T27" s="21" t="n">
        <f aca="false">Assumptions!B26</f>
        <v>500</v>
      </c>
      <c r="U27" s="21" t="n">
        <f aca="false">Assumptions!B26</f>
        <v>500</v>
      </c>
      <c r="V27" s="21" t="n">
        <f aca="false">Assumptions!B26</f>
        <v>500</v>
      </c>
      <c r="W27" s="21" t="n">
        <f aca="false">Assumptions!B26</f>
        <v>500</v>
      </c>
      <c r="X27" s="21" t="n">
        <f aca="false">Assumptions!B26</f>
        <v>500</v>
      </c>
      <c r="Y27" s="21" t="n">
        <f aca="false">Assumptions!B26</f>
        <v>500</v>
      </c>
      <c r="Z27" s="21" t="n">
        <f aca="false">Assumptions!B26</f>
        <v>500</v>
      </c>
      <c r="AA27" s="21" t="n">
        <f aca="false">Assumptions!B26</f>
        <v>500</v>
      </c>
      <c r="AB27" s="21" t="n">
        <f aca="false">Assumptions!B26</f>
        <v>500</v>
      </c>
      <c r="AC27" s="21" t="n">
        <f aca="false">Assumptions!B26</f>
        <v>500</v>
      </c>
      <c r="AD27" s="21" t="n">
        <f aca="false">Assumptions!B26</f>
        <v>500</v>
      </c>
      <c r="AE27" s="21" t="n">
        <f aca="false">Assumptions!B26</f>
        <v>500</v>
      </c>
      <c r="AF27" s="21" t="n">
        <f aca="false">Assumptions!B26</f>
        <v>500</v>
      </c>
      <c r="AG27" s="21" t="n">
        <f aca="false">Assumptions!B26</f>
        <v>500</v>
      </c>
      <c r="AH27" s="21" t="n">
        <f aca="false">Assumptions!B26</f>
        <v>500</v>
      </c>
      <c r="AI27" s="21" t="n">
        <f aca="false">Assumptions!B26</f>
        <v>500</v>
      </c>
      <c r="AJ27" s="21" t="n">
        <f aca="false">Assumptions!B26</f>
        <v>500</v>
      </c>
      <c r="AK27" s="21" t="n">
        <f aca="false">Assumptions!B26</f>
        <v>500</v>
      </c>
    </row>
    <row r="28" customFormat="false" ht="15" hidden="false" customHeight="true" outlineLevel="0" collapsed="false">
      <c r="A28" s="17" t="s">
        <v>64</v>
      </c>
      <c r="B28" s="21" t="n">
        <f aca="false">Assumptions!B27+IF(1&gt;=Assumptions!B30,Assumptions!B31,0)+IF(1&gt;=Assumptions!B32,Assumptions!B33,0)</f>
        <v>0</v>
      </c>
      <c r="C28" s="21" t="n">
        <f aca="false">Assumptions!B27+IF(2&gt;=Assumptions!B30,Assumptions!B31,0)+IF(2&gt;=Assumptions!B32,Assumptions!B33,0)</f>
        <v>0</v>
      </c>
      <c r="D28" s="21" t="n">
        <f aca="false">Assumptions!B27+IF(3&gt;=Assumptions!B30,Assumptions!B31,0)+IF(3&gt;=Assumptions!B32,Assumptions!B33,0)</f>
        <v>0</v>
      </c>
      <c r="E28" s="21" t="n">
        <f aca="false">Assumptions!B27+IF(4&gt;=Assumptions!B30,Assumptions!B31,0)+IF(4&gt;=Assumptions!B32,Assumptions!B33,0)</f>
        <v>0</v>
      </c>
      <c r="F28" s="21" t="n">
        <f aca="false">Assumptions!B27+IF(5&gt;=Assumptions!B30,Assumptions!B31,0)+IF(5&gt;=Assumptions!B32,Assumptions!B33,0)</f>
        <v>0</v>
      </c>
      <c r="G28" s="21" t="n">
        <f aca="false">Assumptions!B27+IF(6&gt;=Assumptions!B30,Assumptions!B31,0)+IF(6&gt;=Assumptions!B32,Assumptions!B33,0)</f>
        <v>0</v>
      </c>
      <c r="H28" s="21" t="n">
        <f aca="false">Assumptions!B27+IF(7&gt;=Assumptions!B30,Assumptions!B31,0)+IF(7&gt;=Assumptions!B32,Assumptions!B33,0)</f>
        <v>0</v>
      </c>
      <c r="I28" s="21" t="n">
        <f aca="false">Assumptions!B27+IF(8&gt;=Assumptions!B30,Assumptions!B31,0)+IF(8&gt;=Assumptions!B32,Assumptions!B33,0)</f>
        <v>0</v>
      </c>
      <c r="J28" s="21" t="n">
        <f aca="false">Assumptions!B27+IF(9&gt;=Assumptions!B30,Assumptions!B31,0)+IF(9&gt;=Assumptions!B32,Assumptions!B33,0)</f>
        <v>0</v>
      </c>
      <c r="K28" s="21" t="n">
        <f aca="false">Assumptions!B27+IF(10&gt;=Assumptions!B30,Assumptions!B31,0)+IF(10&gt;=Assumptions!B32,Assumptions!B33,0)</f>
        <v>12000</v>
      </c>
      <c r="L28" s="21" t="n">
        <f aca="false">Assumptions!B27+IF(11&gt;=Assumptions!B30,Assumptions!B31,0)+IF(11&gt;=Assumptions!B32,Assumptions!B33,0)</f>
        <v>12000</v>
      </c>
      <c r="M28" s="21" t="n">
        <f aca="false">Assumptions!B27+IF(12&gt;=Assumptions!B30,Assumptions!B31,0)+IF(12&gt;=Assumptions!B32,Assumptions!B33,0)</f>
        <v>12000</v>
      </c>
      <c r="N28" s="21" t="n">
        <f aca="false">Assumptions!B27+IF(13&gt;=Assumptions!B30,Assumptions!B31,0)+IF(13&gt;=Assumptions!B32,Assumptions!B33,0)</f>
        <v>12000</v>
      </c>
      <c r="O28" s="21" t="n">
        <f aca="false">Assumptions!B27+IF(14&gt;=Assumptions!B30,Assumptions!B31,0)+IF(14&gt;=Assumptions!B32,Assumptions!B33,0)</f>
        <v>12000</v>
      </c>
      <c r="P28" s="21" t="n">
        <f aca="false">Assumptions!B27+IF(15&gt;=Assumptions!B30,Assumptions!B31,0)+IF(15&gt;=Assumptions!B32,Assumptions!B33,0)</f>
        <v>12000</v>
      </c>
      <c r="Q28" s="21" t="n">
        <f aca="false">Assumptions!B27+IF(16&gt;=Assumptions!B30,Assumptions!B31,0)+IF(16&gt;=Assumptions!B32,Assumptions!B33,0)</f>
        <v>12000</v>
      </c>
      <c r="R28" s="21" t="n">
        <f aca="false">Assumptions!B27+IF(17&gt;=Assumptions!B30,Assumptions!B31,0)+IF(17&gt;=Assumptions!B32,Assumptions!B33,0)</f>
        <v>12000</v>
      </c>
      <c r="S28" s="21" t="n">
        <f aca="false">Assumptions!B27+IF(18&gt;=Assumptions!B30,Assumptions!B31,0)+IF(18&gt;=Assumptions!B32,Assumptions!B33,0)</f>
        <v>22000</v>
      </c>
      <c r="T28" s="21" t="n">
        <f aca="false">Assumptions!B27+IF(19&gt;=Assumptions!B30,Assumptions!B31,0)+IF(19&gt;=Assumptions!B32,Assumptions!B33,0)</f>
        <v>22000</v>
      </c>
      <c r="U28" s="21" t="n">
        <f aca="false">Assumptions!B27+IF(20&gt;=Assumptions!B30,Assumptions!B31,0)+IF(20&gt;=Assumptions!B32,Assumptions!B33,0)</f>
        <v>22000</v>
      </c>
      <c r="V28" s="21" t="n">
        <f aca="false">Assumptions!B27+IF(21&gt;=Assumptions!B30,Assumptions!B31,0)+IF(21&gt;=Assumptions!B32,Assumptions!B33,0)</f>
        <v>22000</v>
      </c>
      <c r="W28" s="21" t="n">
        <f aca="false">Assumptions!B27+IF(22&gt;=Assumptions!B30,Assumptions!B31,0)+IF(22&gt;=Assumptions!B32,Assumptions!B33,0)</f>
        <v>22000</v>
      </c>
      <c r="X28" s="21" t="n">
        <f aca="false">Assumptions!B27+IF(23&gt;=Assumptions!B30,Assumptions!B31,0)+IF(23&gt;=Assumptions!B32,Assumptions!B33,0)</f>
        <v>22000</v>
      </c>
      <c r="Y28" s="21" t="n">
        <f aca="false">Assumptions!B27+IF(24&gt;=Assumptions!B30,Assumptions!B31,0)+IF(24&gt;=Assumptions!B32,Assumptions!B33,0)</f>
        <v>22000</v>
      </c>
      <c r="Z28" s="21" t="n">
        <f aca="false">Assumptions!B27+IF(25&gt;=Assumptions!B30,Assumptions!B31,0)+IF(25&gt;=Assumptions!B32,Assumptions!B33,0)</f>
        <v>22000</v>
      </c>
      <c r="AA28" s="21" t="n">
        <f aca="false">Assumptions!B27+IF(26&gt;=Assumptions!B30,Assumptions!B31,0)+IF(26&gt;=Assumptions!B32,Assumptions!B33,0)</f>
        <v>22000</v>
      </c>
      <c r="AB28" s="21" t="n">
        <f aca="false">Assumptions!B27+IF(27&gt;=Assumptions!B30,Assumptions!B31,0)+IF(27&gt;=Assumptions!B32,Assumptions!B33,0)</f>
        <v>22000</v>
      </c>
      <c r="AC28" s="21" t="n">
        <f aca="false">Assumptions!B27+IF(28&gt;=Assumptions!B30,Assumptions!B31,0)+IF(28&gt;=Assumptions!B32,Assumptions!B33,0)</f>
        <v>22000</v>
      </c>
      <c r="AD28" s="21" t="n">
        <f aca="false">Assumptions!B27+IF(29&gt;=Assumptions!B30,Assumptions!B31,0)+IF(29&gt;=Assumptions!B32,Assumptions!B33,0)</f>
        <v>22000</v>
      </c>
      <c r="AE28" s="21" t="n">
        <f aca="false">Assumptions!B27+IF(30&gt;=Assumptions!B30,Assumptions!B31,0)+IF(30&gt;=Assumptions!B32,Assumptions!B33,0)</f>
        <v>22000</v>
      </c>
      <c r="AF28" s="21" t="n">
        <f aca="false">Assumptions!B27+IF(31&gt;=Assumptions!B30,Assumptions!B31,0)+IF(31&gt;=Assumptions!B32,Assumptions!B33,0)</f>
        <v>22000</v>
      </c>
      <c r="AG28" s="21" t="n">
        <f aca="false">Assumptions!B27+IF(32&gt;=Assumptions!B30,Assumptions!B31,0)+IF(32&gt;=Assumptions!B32,Assumptions!B33,0)</f>
        <v>22000</v>
      </c>
      <c r="AH28" s="21" t="n">
        <f aca="false">Assumptions!B27+IF(33&gt;=Assumptions!B30,Assumptions!B31,0)+IF(33&gt;=Assumptions!B32,Assumptions!B33,0)</f>
        <v>22000</v>
      </c>
      <c r="AI28" s="21" t="n">
        <f aca="false">Assumptions!B27+IF(34&gt;=Assumptions!B30,Assumptions!B31,0)+IF(34&gt;=Assumptions!B32,Assumptions!B33,0)</f>
        <v>22000</v>
      </c>
      <c r="AJ28" s="21" t="n">
        <f aca="false">Assumptions!B27+IF(35&gt;=Assumptions!B30,Assumptions!B31,0)+IF(35&gt;=Assumptions!B32,Assumptions!B33,0)</f>
        <v>22000</v>
      </c>
      <c r="AK28" s="21" t="n">
        <f aca="false">Assumptions!B27+IF(36&gt;=Assumptions!B30,Assumptions!B31,0)+IF(36&gt;=Assumptions!B32,Assumptions!B33,0)</f>
        <v>22000</v>
      </c>
    </row>
    <row r="29" customFormat="false" ht="15" hidden="false" customHeight="true" outlineLevel="0" collapsed="false">
      <c r="A29" s="19" t="s">
        <v>65</v>
      </c>
      <c r="B29" s="22" t="n">
        <f aca="false">SUM(B24:B28)</f>
        <v>950</v>
      </c>
      <c r="C29" s="22" t="n">
        <f aca="false">SUM(C24:C28)</f>
        <v>950</v>
      </c>
      <c r="D29" s="22" t="n">
        <f aca="false">SUM(D24:D28)</f>
        <v>950</v>
      </c>
      <c r="E29" s="22" t="n">
        <f aca="false">SUM(E24:E28)</f>
        <v>950</v>
      </c>
      <c r="F29" s="22" t="n">
        <f aca="false">SUM(F24:F28)</f>
        <v>950</v>
      </c>
      <c r="G29" s="22" t="n">
        <f aca="false">SUM(G24:G28)</f>
        <v>950</v>
      </c>
      <c r="H29" s="22" t="n">
        <f aca="false">SUM(H24:H28)</f>
        <v>950</v>
      </c>
      <c r="I29" s="22" t="n">
        <f aca="false">SUM(I24:I28)</f>
        <v>950</v>
      </c>
      <c r="J29" s="22" t="n">
        <f aca="false">SUM(J24:J28)</f>
        <v>950</v>
      </c>
      <c r="K29" s="22" t="n">
        <f aca="false">SUM(K24:K28)</f>
        <v>12950</v>
      </c>
      <c r="L29" s="22" t="n">
        <f aca="false">SUM(L24:L28)</f>
        <v>12950</v>
      </c>
      <c r="M29" s="22" t="n">
        <f aca="false">SUM(M24:M28)</f>
        <v>12950</v>
      </c>
      <c r="N29" s="22" t="n">
        <f aca="false">SUM(N24:N28)</f>
        <v>12950</v>
      </c>
      <c r="O29" s="22" t="n">
        <f aca="false">SUM(O24:O28)</f>
        <v>12950</v>
      </c>
      <c r="P29" s="22" t="n">
        <f aca="false">SUM(P24:P28)</f>
        <v>12950</v>
      </c>
      <c r="Q29" s="22" t="n">
        <f aca="false">SUM(Q24:Q28)</f>
        <v>12950</v>
      </c>
      <c r="R29" s="22" t="n">
        <f aca="false">SUM(R24:R28)</f>
        <v>12950</v>
      </c>
      <c r="S29" s="22" t="n">
        <f aca="false">SUM(S24:S28)</f>
        <v>22950</v>
      </c>
      <c r="T29" s="22" t="n">
        <f aca="false">SUM(T24:T28)</f>
        <v>22950</v>
      </c>
      <c r="U29" s="22" t="n">
        <f aca="false">SUM(U24:U28)</f>
        <v>22950</v>
      </c>
      <c r="V29" s="22" t="n">
        <f aca="false">SUM(V24:V28)</f>
        <v>22950</v>
      </c>
      <c r="W29" s="22" t="n">
        <f aca="false">SUM(W24:W28)</f>
        <v>22950</v>
      </c>
      <c r="X29" s="22" t="n">
        <f aca="false">SUM(X24:X28)</f>
        <v>22950</v>
      </c>
      <c r="Y29" s="22" t="n">
        <f aca="false">SUM(Y24:Y28)</f>
        <v>22950</v>
      </c>
      <c r="Z29" s="22" t="n">
        <f aca="false">SUM(Z24:Z28)</f>
        <v>22950</v>
      </c>
      <c r="AA29" s="22" t="n">
        <f aca="false">SUM(AA24:AA28)</f>
        <v>22950</v>
      </c>
      <c r="AB29" s="22" t="n">
        <f aca="false">SUM(AB24:AB28)</f>
        <v>22950</v>
      </c>
      <c r="AC29" s="22" t="n">
        <f aca="false">SUM(AC24:AC28)</f>
        <v>22950</v>
      </c>
      <c r="AD29" s="22" t="n">
        <f aca="false">SUM(AD24:AD28)</f>
        <v>22950</v>
      </c>
      <c r="AE29" s="22" t="n">
        <f aca="false">SUM(AE24:AE28)</f>
        <v>22950</v>
      </c>
      <c r="AF29" s="22" t="n">
        <f aca="false">SUM(AF24:AF28)</f>
        <v>22950</v>
      </c>
      <c r="AG29" s="22" t="n">
        <f aca="false">SUM(AG24:AG28)</f>
        <v>22950</v>
      </c>
      <c r="AH29" s="22" t="n">
        <f aca="false">SUM(AH24:AH28)</f>
        <v>22950</v>
      </c>
      <c r="AI29" s="22" t="n">
        <f aca="false">SUM(AI24:AI28)</f>
        <v>22950</v>
      </c>
      <c r="AJ29" s="22" t="n">
        <f aca="false">SUM(AJ24:AJ28)</f>
        <v>22950</v>
      </c>
      <c r="AK29" s="22" t="n">
        <f aca="false">SUM(AK24:AK28)</f>
        <v>22950</v>
      </c>
    </row>
    <row r="31" customFormat="false" ht="18" hidden="false" customHeight="true" outlineLevel="0" collapsed="false">
      <c r="A31" s="15" t="s">
        <v>66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customFormat="false" ht="15" hidden="false" customHeight="true" outlineLevel="0" collapsed="false">
      <c r="A32" s="19" t="s">
        <v>67</v>
      </c>
      <c r="B32" s="22" t="n">
        <f aca="false">B20-B29</f>
        <v>-950</v>
      </c>
      <c r="C32" s="22" t="n">
        <f aca="false">C20-C29</f>
        <v>-950</v>
      </c>
      <c r="D32" s="22" t="n">
        <f aca="false">D20-D29</f>
        <v>-950</v>
      </c>
      <c r="E32" s="22" t="n">
        <f aca="false">E20-E29</f>
        <v>735</v>
      </c>
      <c r="F32" s="22" t="n">
        <f aca="false">F20-F29</f>
        <v>1135</v>
      </c>
      <c r="G32" s="22" t="n">
        <f aca="false">G20-G29</f>
        <v>1550</v>
      </c>
      <c r="H32" s="22" t="n">
        <f aca="false">H20-H29</f>
        <v>1965</v>
      </c>
      <c r="I32" s="22" t="n">
        <f aca="false">I20-I29</f>
        <v>2365</v>
      </c>
      <c r="J32" s="22" t="n">
        <f aca="false">J20-J29</f>
        <v>2820</v>
      </c>
      <c r="K32" s="22" t="n">
        <f aca="false">K20-K29</f>
        <v>-8765</v>
      </c>
      <c r="L32" s="22" t="n">
        <f aca="false">L20-L29</f>
        <v>-8365</v>
      </c>
      <c r="M32" s="22" t="n">
        <f aca="false">M20-M29</f>
        <v>-7950</v>
      </c>
      <c r="N32" s="22" t="n">
        <f aca="false">N20-N29</f>
        <v>-1295</v>
      </c>
      <c r="O32" s="22" t="n">
        <f aca="false">O20-O29</f>
        <v>5375</v>
      </c>
      <c r="P32" s="22" t="n">
        <f aca="false">P20-P29</f>
        <v>12070</v>
      </c>
      <c r="Q32" s="22" t="n">
        <f aca="false">Q20-Q29</f>
        <v>18725</v>
      </c>
      <c r="R32" s="22" t="n">
        <f aca="false">R20-R29</f>
        <v>25395</v>
      </c>
      <c r="S32" s="22" t="n">
        <f aca="false">S20-S29</f>
        <v>22050</v>
      </c>
      <c r="T32" s="22" t="n">
        <f aca="false">T20-T29</f>
        <v>28705</v>
      </c>
      <c r="U32" s="22" t="n">
        <f aca="false">U20-U29</f>
        <v>35375</v>
      </c>
      <c r="V32" s="22" t="n">
        <f aca="false">V20-V29</f>
        <v>42030</v>
      </c>
      <c r="W32" s="22" t="n">
        <f aca="false">W20-W29</f>
        <v>48725</v>
      </c>
      <c r="X32" s="22" t="n">
        <f aca="false">X20-X29</f>
        <v>55395</v>
      </c>
      <c r="Y32" s="22" t="n">
        <f aca="false">Y20-Y29</f>
        <v>62050</v>
      </c>
      <c r="Z32" s="22" t="n">
        <f aca="false">Z20-Z29</f>
        <v>83300</v>
      </c>
      <c r="AA32" s="22" t="n">
        <f aca="false">AA20-AA29</f>
        <v>104550</v>
      </c>
      <c r="AB32" s="22" t="n">
        <f aca="false">AB20-AB29</f>
        <v>125800</v>
      </c>
      <c r="AC32" s="22" t="n">
        <f aca="false">AC20-AC29</f>
        <v>147050</v>
      </c>
      <c r="AD32" s="22" t="n">
        <f aca="false">AD20-AD29</f>
        <v>168300</v>
      </c>
      <c r="AE32" s="22" t="n">
        <f aca="false">AE20-AE29</f>
        <v>189550</v>
      </c>
      <c r="AF32" s="22" t="n">
        <f aca="false">AF20-AF29</f>
        <v>210800</v>
      </c>
      <c r="AG32" s="22" t="n">
        <f aca="false">AG20-AG29</f>
        <v>232050</v>
      </c>
      <c r="AH32" s="22" t="n">
        <f aca="false">AH20-AH29</f>
        <v>253300</v>
      </c>
      <c r="AI32" s="22" t="n">
        <f aca="false">AI20-AI29</f>
        <v>274550</v>
      </c>
      <c r="AJ32" s="22" t="n">
        <f aca="false">AJ20-AJ29</f>
        <v>295800</v>
      </c>
      <c r="AK32" s="22" t="n">
        <f aca="false">AK20-AK29</f>
        <v>317050</v>
      </c>
    </row>
    <row r="33" customFormat="false" ht="15" hidden="false" customHeight="true" outlineLevel="0" collapsed="false">
      <c r="A33" s="17" t="s">
        <v>68</v>
      </c>
      <c r="B33" s="23" t="n">
        <f aca="false">IF(B13=0,0,B32/B13)</f>
        <v>0</v>
      </c>
      <c r="C33" s="23" t="n">
        <f aca="false">IF(C13=0,0,C32/C13)</f>
        <v>0</v>
      </c>
      <c r="D33" s="23" t="n">
        <f aca="false">IF(D13=0,0,D32/D13)</f>
        <v>0</v>
      </c>
      <c r="E33" s="23" t="n">
        <f aca="false">IF(E13=0,0,E32/E13)</f>
        <v>0.27445855115758</v>
      </c>
      <c r="F33" s="23" t="n">
        <f aca="false">IF(F13=0,0,F32/F13)</f>
        <v>0.342486421243211</v>
      </c>
      <c r="G33" s="23" t="n">
        <f aca="false">IF(G13=0,0,G32/G13)</f>
        <v>0.389937106918239</v>
      </c>
      <c r="H33" s="23" t="n">
        <f aca="false">IF(H13=0,0,H32/H13)</f>
        <v>0.423856773080242</v>
      </c>
      <c r="I33" s="23" t="n">
        <f aca="false">IF(I13=0,0,I32/I13)</f>
        <v>0.448596358118361</v>
      </c>
      <c r="J33" s="23" t="n">
        <f aca="false">IF(J13=0,0,J32/J13)</f>
        <v>0.470627503337784</v>
      </c>
      <c r="K33" s="23" t="n">
        <f aca="false">IF(K13=0,0,K32/K13)</f>
        <v>-1.31745077408688</v>
      </c>
      <c r="L33" s="23" t="n">
        <f aca="false">IF(L13=0,0,L32/L13)</f>
        <v>-1.14761970091919</v>
      </c>
      <c r="M33" s="23" t="n">
        <f aca="false">IF(M13=0,0,M32/M13)</f>
        <v>-1</v>
      </c>
      <c r="N33" s="23" t="n">
        <f aca="false">IF(N13=0,0,N32/N13)</f>
        <v>-0.0702430028205685</v>
      </c>
      <c r="O33" s="23" t="n">
        <f aca="false">IF(O13=0,0,O32/O13)</f>
        <v>0.185684181435036</v>
      </c>
      <c r="P33" s="23" t="n">
        <f aca="false">IF(P13=0,0,P32/P13)</f>
        <v>0.30563152030791</v>
      </c>
      <c r="Q33" s="23" t="n">
        <f aca="false">IF(Q13=0,0,Q32/Q13)</f>
        <v>0.374664852535115</v>
      </c>
      <c r="R33" s="23" t="n">
        <f aca="false">IF(R13=0,0,R32/R13)</f>
        <v>0.419828398551803</v>
      </c>
      <c r="S33" s="23" t="n">
        <f aca="false">IF(S13=0,0,S32/S13)</f>
        <v>0.310672772102853</v>
      </c>
      <c r="T33" s="23" t="n">
        <f aca="false">IF(T13=0,0,T32/T13)</f>
        <v>0.35237721118081</v>
      </c>
      <c r="U33" s="23" t="n">
        <f aca="false">IF(U13=0,0,U32/U13)</f>
        <v>0.384627930239638</v>
      </c>
      <c r="V33" s="23" t="n">
        <f aca="false">IF(V13=0,0,V32/V13)</f>
        <v>0.410216869351344</v>
      </c>
      <c r="W33" s="23" t="n">
        <f aca="false">IF(W13=0,0,W32/W13)</f>
        <v>0.431183242922754</v>
      </c>
      <c r="X33" s="23" t="n">
        <f aca="false">IF(X13=0,0,X32/X13)</f>
        <v>0.448491668960604</v>
      </c>
      <c r="Y33" s="23" t="n">
        <f aca="false">IF(Y13=0,0,Y32/Y13)</f>
        <v>0.463059701492537</v>
      </c>
      <c r="Z33" s="23" t="n">
        <f aca="false">IF(Z13=0,0,Z32/Z13)</f>
        <v>0.497313432835821</v>
      </c>
      <c r="AA33" s="23" t="n">
        <f aca="false">IF(AA13=0,0,AA32/AA13)</f>
        <v>0.520149253731343</v>
      </c>
      <c r="AB33" s="23" t="n">
        <f aca="false">IF(AB13=0,0,AB32/AB13)</f>
        <v>0.536460554371002</v>
      </c>
      <c r="AC33" s="23" t="n">
        <f aca="false">IF(AC13=0,0,AC32/AC13)</f>
        <v>0.548694029850746</v>
      </c>
      <c r="AD33" s="23" t="n">
        <f aca="false">IF(AD13=0,0,AD32/AD13)</f>
        <v>0.558208955223881</v>
      </c>
      <c r="AE33" s="23" t="n">
        <f aca="false">IF(AE13=0,0,AE32/AE13)</f>
        <v>0.565820895522388</v>
      </c>
      <c r="AF33" s="23" t="n">
        <f aca="false">IF(AF13=0,0,AF32/AF13)</f>
        <v>0.572048846675712</v>
      </c>
      <c r="AG33" s="23" t="n">
        <f aca="false">IF(AG13=0,0,AG32/AG13)</f>
        <v>0.577238805970149</v>
      </c>
      <c r="AH33" s="23" t="n">
        <f aca="false">IF(AH13=0,0,AH32/AH13)</f>
        <v>0.581630309988519</v>
      </c>
      <c r="AI33" s="23" t="n">
        <f aca="false">IF(AI13=0,0,AI32/AI13)</f>
        <v>0.585394456289979</v>
      </c>
      <c r="AJ33" s="23" t="n">
        <f aca="false">IF(AJ13=0,0,AJ32/AJ13)</f>
        <v>0.58865671641791</v>
      </c>
      <c r="AK33" s="23" t="n">
        <f aca="false">IF(AK13=0,0,AK32/AK13)</f>
        <v>0.591511194029851</v>
      </c>
    </row>
    <row r="34" customFormat="false" ht="15" hidden="false" customHeight="true" outlineLevel="0" collapsed="false">
      <c r="A34" s="19" t="s">
        <v>69</v>
      </c>
      <c r="B34" s="22" t="n">
        <f aca="false">B32</f>
        <v>-950</v>
      </c>
      <c r="C34" s="22" t="n">
        <f aca="false">B34+C32</f>
        <v>-1900</v>
      </c>
      <c r="D34" s="22" t="n">
        <f aca="false">C34+D32</f>
        <v>-2850</v>
      </c>
      <c r="E34" s="22" t="n">
        <f aca="false">D34+E32</f>
        <v>-2115</v>
      </c>
      <c r="F34" s="22" t="n">
        <f aca="false">E34+F32</f>
        <v>-980</v>
      </c>
      <c r="G34" s="22" t="n">
        <f aca="false">F34+G32</f>
        <v>570</v>
      </c>
      <c r="H34" s="22" t="n">
        <f aca="false">G34+H32</f>
        <v>2535</v>
      </c>
      <c r="I34" s="22" t="n">
        <f aca="false">H34+I32</f>
        <v>4900</v>
      </c>
      <c r="J34" s="22" t="n">
        <f aca="false">I34+J32</f>
        <v>7720</v>
      </c>
      <c r="K34" s="22" t="n">
        <f aca="false">J34+K32</f>
        <v>-1045</v>
      </c>
      <c r="L34" s="22" t="n">
        <f aca="false">K34+L32</f>
        <v>-9410</v>
      </c>
      <c r="M34" s="22" t="n">
        <f aca="false">L34+M32</f>
        <v>-17360</v>
      </c>
      <c r="N34" s="22" t="n">
        <f aca="false">M34+N32</f>
        <v>-18655</v>
      </c>
      <c r="O34" s="22" t="n">
        <f aca="false">N34+O32</f>
        <v>-13280</v>
      </c>
      <c r="P34" s="22" t="n">
        <f aca="false">O34+P32</f>
        <v>-1210</v>
      </c>
      <c r="Q34" s="22" t="n">
        <f aca="false">P34+Q32</f>
        <v>17515</v>
      </c>
      <c r="R34" s="22" t="n">
        <f aca="false">Q34+R32</f>
        <v>42910</v>
      </c>
      <c r="S34" s="22" t="n">
        <f aca="false">R34+S32</f>
        <v>64960</v>
      </c>
      <c r="T34" s="22" t="n">
        <f aca="false">S34+T32</f>
        <v>93665</v>
      </c>
      <c r="U34" s="22" t="n">
        <f aca="false">T34+U32</f>
        <v>129040</v>
      </c>
      <c r="V34" s="22" t="n">
        <f aca="false">U34+V32</f>
        <v>171070</v>
      </c>
      <c r="W34" s="22" t="n">
        <f aca="false">V34+W32</f>
        <v>219795</v>
      </c>
      <c r="X34" s="22" t="n">
        <f aca="false">W34+X32</f>
        <v>275190</v>
      </c>
      <c r="Y34" s="22" t="n">
        <f aca="false">X34+Y32</f>
        <v>337240</v>
      </c>
      <c r="Z34" s="22" t="n">
        <f aca="false">Y34+Z32</f>
        <v>420540</v>
      </c>
      <c r="AA34" s="22" t="n">
        <f aca="false">Z34+AA32</f>
        <v>525090</v>
      </c>
      <c r="AB34" s="22" t="n">
        <f aca="false">AA34+AB32</f>
        <v>650890</v>
      </c>
      <c r="AC34" s="22" t="n">
        <f aca="false">AB34+AC32</f>
        <v>797940</v>
      </c>
      <c r="AD34" s="22" t="n">
        <f aca="false">AC34+AD32</f>
        <v>966240</v>
      </c>
      <c r="AE34" s="22" t="n">
        <f aca="false">AD34+AE32</f>
        <v>1155790</v>
      </c>
      <c r="AF34" s="22" t="n">
        <f aca="false">AE34+AF32</f>
        <v>1366590</v>
      </c>
      <c r="AG34" s="22" t="n">
        <f aca="false">AF34+AG32</f>
        <v>1598640</v>
      </c>
      <c r="AH34" s="22" t="n">
        <f aca="false">AG34+AH32</f>
        <v>1851940</v>
      </c>
      <c r="AI34" s="22" t="n">
        <f aca="false">AH34+AI32</f>
        <v>2126490</v>
      </c>
      <c r="AJ34" s="22" t="n">
        <f aca="false">AI34+AJ32</f>
        <v>2422290</v>
      </c>
      <c r="AK34" s="22" t="n">
        <f aca="false">AJ34+AK32</f>
        <v>2739340</v>
      </c>
    </row>
  </sheetData>
  <mergeCells count="4">
    <mergeCell ref="A1:AK1"/>
    <mergeCell ref="B2:M2"/>
    <mergeCell ref="N2:Y2"/>
    <mergeCell ref="Z2:A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7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</row>
    <row r="3" customFormat="false" ht="21.75" hidden="false" customHeight="true" outlineLevel="0" collapsed="false">
      <c r="B3" s="24" t="s">
        <v>8</v>
      </c>
      <c r="C3" s="24" t="s">
        <v>9</v>
      </c>
      <c r="D3" s="24" t="s">
        <v>10</v>
      </c>
    </row>
    <row r="4" customFormat="false" ht="18" hidden="false" customHeight="true" outlineLevel="0" collapsed="false">
      <c r="A4" s="3" t="s">
        <v>71</v>
      </c>
      <c r="B4" s="3"/>
      <c r="C4" s="3"/>
      <c r="D4" s="3"/>
    </row>
    <row r="5" customFormat="false" ht="15.75" hidden="false" customHeight="true" outlineLevel="0" collapsed="false">
      <c r="A5" s="25" t="s">
        <v>72</v>
      </c>
      <c r="B5" s="26" t="n">
        <f aca="false">'Monthly P&amp;L'!M6</f>
        <v>200</v>
      </c>
      <c r="C5" s="26" t="n">
        <f aca="false">'Monthly P&amp;L'!Y6</f>
        <v>3000</v>
      </c>
      <c r="D5" s="26" t="n">
        <f aca="false">'Monthly P&amp;L'!AK6</f>
        <v>12000</v>
      </c>
    </row>
    <row r="6" customFormat="false" ht="15.75" hidden="false" customHeight="true" outlineLevel="0" collapsed="false">
      <c r="A6" s="25" t="s">
        <v>73</v>
      </c>
      <c r="B6" s="26" t="n">
        <f aca="false">'Monthly P&amp;L'!M7</f>
        <v>50</v>
      </c>
      <c r="C6" s="26" t="n">
        <f aca="false">'Monthly P&amp;L'!Y7</f>
        <v>1000</v>
      </c>
      <c r="D6" s="26" t="n">
        <f aca="false">'Monthly P&amp;L'!AK7</f>
        <v>4000</v>
      </c>
    </row>
    <row r="7" customFormat="false" ht="15.75" hidden="false" customHeight="true" outlineLevel="0" collapsed="false">
      <c r="A7" s="27" t="s">
        <v>74</v>
      </c>
      <c r="B7" s="28" t="n">
        <f aca="false">'Monthly P&amp;L'!M8</f>
        <v>250</v>
      </c>
      <c r="C7" s="28" t="n">
        <f aca="false">'Monthly P&amp;L'!Y8</f>
        <v>4000</v>
      </c>
      <c r="D7" s="28" t="n">
        <f aca="false">'Monthly P&amp;L'!AK8</f>
        <v>16000</v>
      </c>
    </row>
    <row r="9" customFormat="false" ht="18" hidden="false" customHeight="true" outlineLevel="0" collapsed="false">
      <c r="A9" s="3" t="s">
        <v>48</v>
      </c>
      <c r="B9" s="3"/>
      <c r="C9" s="3"/>
      <c r="D9" s="3"/>
    </row>
    <row r="10" customFormat="false" ht="15.75" hidden="false" customHeight="true" outlineLevel="0" collapsed="false">
      <c r="A10" s="25" t="s">
        <v>75</v>
      </c>
      <c r="B10" s="29" t="n">
        <f aca="false">SUM('Monthly P&amp;L'!B13:M13)</f>
        <v>47759</v>
      </c>
      <c r="C10" s="29" t="n">
        <f aca="false">SUM('Monthly P&amp;L'!N13:Y13)</f>
        <v>914725</v>
      </c>
      <c r="D10" s="29" t="n">
        <f aca="false">SUM('Monthly P&amp;L'!Z13:AK13)</f>
        <v>4221000</v>
      </c>
    </row>
    <row r="11" customFormat="false" ht="15.75" hidden="false" customHeight="true" outlineLevel="0" collapsed="false">
      <c r="A11" s="27" t="s">
        <v>76</v>
      </c>
      <c r="B11" s="30" t="n">
        <f aca="false">'Monthly P&amp;L'!M14</f>
        <v>95400</v>
      </c>
      <c r="C11" s="30" t="n">
        <f aca="false">'Monthly P&amp;L'!Y14</f>
        <v>1608000</v>
      </c>
      <c r="D11" s="30" t="n">
        <f aca="false">'Monthly P&amp;L'!AK14</f>
        <v>6432000</v>
      </c>
    </row>
    <row r="12" customFormat="false" ht="15.75" hidden="false" customHeight="true" outlineLevel="0" collapsed="false">
      <c r="A12" s="31" t="s">
        <v>77</v>
      </c>
      <c r="B12" s="32" t="s">
        <v>78</v>
      </c>
      <c r="C12" s="33" t="n">
        <f aca="false">IF(B10=0,0,(C10-B10)/B10)</f>
        <v>18.1529345254298</v>
      </c>
      <c r="D12" s="33" t="n">
        <f aca="false">IF(C10=0,0,(D10-C10)/C10)</f>
        <v>3.6145016261718</v>
      </c>
    </row>
    <row r="14" customFormat="false" ht="18" hidden="false" customHeight="true" outlineLevel="0" collapsed="false">
      <c r="A14" s="3" t="s">
        <v>79</v>
      </c>
      <c r="B14" s="3"/>
      <c r="C14" s="3"/>
      <c r="D14" s="3"/>
    </row>
    <row r="15" customFormat="false" ht="15.75" hidden="false" customHeight="true" outlineLevel="0" collapsed="false">
      <c r="A15" s="25" t="s">
        <v>80</v>
      </c>
      <c r="B15" s="29" t="n">
        <f aca="false">SUM('Monthly P&amp;L'!B20:M20)</f>
        <v>30040</v>
      </c>
      <c r="C15" s="29" t="n">
        <f aca="false">SUM('Monthly P&amp;L'!N20:Y20)</f>
        <v>580000</v>
      </c>
      <c r="D15" s="29" t="n">
        <f aca="false">SUM('Monthly P&amp;L'!Z20:AK20)</f>
        <v>2677500</v>
      </c>
    </row>
    <row r="16" customFormat="false" ht="15.75" hidden="false" customHeight="true" outlineLevel="0" collapsed="false">
      <c r="A16" s="25" t="s">
        <v>81</v>
      </c>
      <c r="B16" s="33" t="n">
        <f aca="false">IF(B10=0,0,B15/B10)</f>
        <v>0.628991394292175</v>
      </c>
      <c r="C16" s="33" t="n">
        <f aca="false">IF(C10=0,0,C15/C10)</f>
        <v>0.634070349011998</v>
      </c>
      <c r="D16" s="33" t="n">
        <f aca="false">IF(D10=0,0,D15/D10)</f>
        <v>0.634328358208955</v>
      </c>
    </row>
    <row r="17" customFormat="false" ht="15.75" hidden="false" customHeight="true" outlineLevel="0" collapsed="false">
      <c r="A17" s="25" t="s">
        <v>82</v>
      </c>
      <c r="B17" s="29" t="n">
        <f aca="false">SUM('Monthly P&amp;L'!B29:M29)</f>
        <v>47400</v>
      </c>
      <c r="C17" s="29" t="n">
        <f aca="false">SUM('Monthly P&amp;L'!N29:Y29)</f>
        <v>225400</v>
      </c>
      <c r="D17" s="29" t="n">
        <f aca="false">SUM('Monthly P&amp;L'!Z29:AK29)</f>
        <v>275400</v>
      </c>
    </row>
    <row r="18" customFormat="false" ht="15.75" hidden="false" customHeight="true" outlineLevel="0" collapsed="false">
      <c r="A18" s="27" t="s">
        <v>83</v>
      </c>
      <c r="B18" s="30" t="n">
        <f aca="false">SUM('Monthly P&amp;L'!B32:M32)</f>
        <v>-17360</v>
      </c>
      <c r="C18" s="30" t="n">
        <f aca="false">SUM('Monthly P&amp;L'!N32:Y32)</f>
        <v>354600</v>
      </c>
      <c r="D18" s="30" t="n">
        <f aca="false">SUM('Monthly P&amp;L'!Z32:AK32)</f>
        <v>2402100</v>
      </c>
    </row>
    <row r="19" customFormat="false" ht="15.75" hidden="false" customHeight="true" outlineLevel="0" collapsed="false">
      <c r="A19" s="27" t="s">
        <v>84</v>
      </c>
      <c r="B19" s="34" t="n">
        <f aca="false">IF(B10=0,0,B18/B10)</f>
        <v>-0.363491697899872</v>
      </c>
      <c r="C19" s="34" t="n">
        <f aca="false">IF(C10=0,0,C18/C10)</f>
        <v>0.38765749268906</v>
      </c>
      <c r="D19" s="34" t="n">
        <f aca="false">IF(D10=0,0,D18/D10)</f>
        <v>0.56908315565032</v>
      </c>
    </row>
    <row r="21" customFormat="false" ht="18" hidden="false" customHeight="true" outlineLevel="0" collapsed="false">
      <c r="A21" s="3" t="s">
        <v>85</v>
      </c>
      <c r="B21" s="3"/>
      <c r="C21" s="3"/>
      <c r="D21" s="3"/>
    </row>
    <row r="22" customFormat="false" ht="15.75" hidden="false" customHeight="true" outlineLevel="0" collapsed="false">
      <c r="A22" s="25" t="s">
        <v>86</v>
      </c>
      <c r="B22" s="6" t="n">
        <v>80</v>
      </c>
      <c r="C22" s="6" t="n">
        <v>65</v>
      </c>
      <c r="D22" s="6" t="n">
        <v>50</v>
      </c>
    </row>
    <row r="23" customFormat="false" ht="15.75" hidden="false" customHeight="true" outlineLevel="0" collapsed="false">
      <c r="A23" s="25" t="s">
        <v>87</v>
      </c>
      <c r="B23" s="29" t="n">
        <f aca="false">IF(B7=0,0,B10/(MAX(B7,1)*12))</f>
        <v>15.9196666666667</v>
      </c>
      <c r="C23" s="29" t="n">
        <f aca="false">IF(C7=0,0,C10/(MAX(C7,1)*12))</f>
        <v>19.0567708333333</v>
      </c>
      <c r="D23" s="29" t="n">
        <f aca="false">IF(D7=0,0,D10/(MAX(D7,1)*12))</f>
        <v>21.984375</v>
      </c>
    </row>
    <row r="24" customFormat="false" ht="15.75" hidden="false" customHeight="true" outlineLevel="0" collapsed="false">
      <c r="A24" s="25" t="s">
        <v>88</v>
      </c>
      <c r="B24" s="29" t="n">
        <f aca="false">B23*12*0.7</f>
        <v>133.7252</v>
      </c>
      <c r="C24" s="29" t="n">
        <f aca="false">C23*12*0.7</f>
        <v>160.076875</v>
      </c>
      <c r="D24" s="29" t="n">
        <f aca="false">D23*12*0.7</f>
        <v>184.66875</v>
      </c>
    </row>
    <row r="25" customFormat="false" ht="15.75" hidden="false" customHeight="true" outlineLevel="0" collapsed="false">
      <c r="A25" s="27" t="s">
        <v>89</v>
      </c>
      <c r="B25" s="28" t="n">
        <f aca="false">IF(B22=0,0,B24/B22)</f>
        <v>1.671565</v>
      </c>
      <c r="C25" s="28" t="n">
        <f aca="false">IF(C22=0,0,C24/C22)</f>
        <v>2.46272115384615</v>
      </c>
      <c r="D25" s="28" t="n">
        <f aca="false">IF(D22=0,0,D24/D22)</f>
        <v>3.693375</v>
      </c>
    </row>
    <row r="26" customFormat="false" ht="15.75" hidden="false" customHeight="true" outlineLevel="0" collapsed="false">
      <c r="A26" s="25" t="s">
        <v>90</v>
      </c>
      <c r="B26" s="26" t="n">
        <f aca="false">IF(B23=0,0,B22/B23)</f>
        <v>5.02523084654201</v>
      </c>
      <c r="C26" s="26" t="n">
        <f aca="false">IF(C23=0,0,C22/C23)</f>
        <v>3.41086118778868</v>
      </c>
      <c r="D26" s="26" t="n">
        <f aca="false">IF(D23=0,0,D22/D23)</f>
        <v>2.27434257285004</v>
      </c>
    </row>
    <row r="28" customFormat="false" ht="18" hidden="false" customHeight="true" outlineLevel="0" collapsed="false">
      <c r="A28" s="3" t="s">
        <v>91</v>
      </c>
      <c r="B28" s="3"/>
      <c r="C28" s="3"/>
      <c r="D28" s="3"/>
    </row>
    <row r="29" customFormat="false" ht="15.75" hidden="false" customHeight="true" outlineLevel="0" collapsed="false">
      <c r="A29" s="27" t="s">
        <v>92</v>
      </c>
      <c r="B29" s="30" t="n">
        <f aca="false">'Monthly P&amp;L'!M34</f>
        <v>-17360</v>
      </c>
      <c r="C29" s="30" t="n">
        <f aca="false">'Monthly P&amp;L'!Y34</f>
        <v>337240</v>
      </c>
      <c r="D29" s="30" t="n">
        <f aca="false">'Monthly P&amp;L'!AK34</f>
        <v>2739340</v>
      </c>
    </row>
  </sheetData>
  <mergeCells count="6">
    <mergeCell ref="A1:D1"/>
    <mergeCell ref="A4:D4"/>
    <mergeCell ref="A9:D9"/>
    <mergeCell ref="A14:D14"/>
    <mergeCell ref="A21:D2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7"/>
  </cols>
  <sheetData>
    <row r="1" customFormat="false" ht="30" hidden="false" customHeight="true" outlineLevel="0" collapsed="false">
      <c r="A1" s="1" t="s">
        <v>93</v>
      </c>
      <c r="B1" s="1"/>
      <c r="C1" s="1"/>
      <c r="D1" s="1"/>
    </row>
    <row r="3" customFormat="false" ht="21.75" hidden="false" customHeight="true" outlineLevel="0" collapsed="false">
      <c r="B3" s="24" t="s">
        <v>3</v>
      </c>
      <c r="C3" s="24" t="s">
        <v>4</v>
      </c>
      <c r="D3" s="24" t="s">
        <v>94</v>
      </c>
    </row>
    <row r="4" customFormat="false" ht="18" hidden="false" customHeight="true" outlineLevel="0" collapsed="false">
      <c r="A4" s="3" t="s">
        <v>95</v>
      </c>
      <c r="B4" s="3"/>
      <c r="C4" s="3"/>
      <c r="D4" s="3"/>
    </row>
    <row r="5" customFormat="false" ht="15.75" hidden="false" customHeight="true" outlineLevel="0" collapsed="false">
      <c r="A5" s="25" t="s">
        <v>96</v>
      </c>
      <c r="B5" s="29" t="n">
        <f aca="false">Assumptions!B6</f>
        <v>25</v>
      </c>
      <c r="C5" s="29" t="n">
        <f aca="false">Assumptions!C6</f>
        <v>59</v>
      </c>
      <c r="D5" s="35" t="n">
        <f aca="false">(B5+C5)/2</f>
        <v>42</v>
      </c>
    </row>
    <row r="6" customFormat="false" ht="15.75" hidden="false" customHeight="true" outlineLevel="0" collapsed="false">
      <c r="A6" s="25" t="s">
        <v>97</v>
      </c>
      <c r="B6" s="29" t="n">
        <f aca="false">Assumptions!B7</f>
        <v>240</v>
      </c>
      <c r="C6" s="29" t="n">
        <f aca="false">Assumptions!C7</f>
        <v>564</v>
      </c>
      <c r="D6" s="35" t="n">
        <f aca="false">(B6+C6)/2</f>
        <v>402</v>
      </c>
    </row>
    <row r="8" customFormat="false" ht="18" hidden="false" customHeight="true" outlineLevel="0" collapsed="false">
      <c r="A8" s="3" t="s">
        <v>98</v>
      </c>
      <c r="B8" s="3"/>
      <c r="C8" s="3"/>
      <c r="D8" s="3"/>
    </row>
    <row r="9" customFormat="false" ht="15.75" hidden="false" customHeight="true" outlineLevel="0" collapsed="false">
      <c r="A9" s="25" t="s">
        <v>99</v>
      </c>
      <c r="B9" s="29" t="n">
        <f aca="false">Assumptions!B18</f>
        <v>8</v>
      </c>
      <c r="C9" s="29" t="n">
        <f aca="false">Assumptions!C18</f>
        <v>15</v>
      </c>
      <c r="D9" s="35" t="n">
        <f aca="false">(B9+C9)/2</f>
        <v>11.5</v>
      </c>
    </row>
    <row r="10" customFormat="false" ht="15.75" hidden="false" customHeight="true" outlineLevel="0" collapsed="false">
      <c r="A10" s="25" t="s">
        <v>100</v>
      </c>
      <c r="B10" s="29" t="n">
        <f aca="false">Assumptions!B19</f>
        <v>2</v>
      </c>
      <c r="C10" s="29" t="n">
        <f aca="false">Assumptions!C19</f>
        <v>4</v>
      </c>
      <c r="D10" s="35" t="n">
        <f aca="false">(B10+C10)/2</f>
        <v>3</v>
      </c>
    </row>
    <row r="11" customFormat="false" ht="15.75" hidden="false" customHeight="true" outlineLevel="0" collapsed="false">
      <c r="A11" s="27" t="s">
        <v>101</v>
      </c>
      <c r="B11" s="10" t="n">
        <f aca="false">B9+B10</f>
        <v>10</v>
      </c>
      <c r="C11" s="10" t="n">
        <f aca="false">C9+C10</f>
        <v>19</v>
      </c>
      <c r="D11" s="10" t="n">
        <f aca="false">D9+D10</f>
        <v>14.5</v>
      </c>
    </row>
    <row r="13" customFormat="false" ht="18" hidden="false" customHeight="true" outlineLevel="0" collapsed="false">
      <c r="A13" s="3" t="s">
        <v>102</v>
      </c>
      <c r="B13" s="3"/>
      <c r="C13" s="3"/>
      <c r="D13" s="3"/>
    </row>
    <row r="14" customFormat="false" ht="15.75" hidden="false" customHeight="true" outlineLevel="0" collapsed="false">
      <c r="A14" s="27" t="s">
        <v>103</v>
      </c>
      <c r="B14" s="10" t="n">
        <f aca="false">B5-B11</f>
        <v>15</v>
      </c>
      <c r="C14" s="10" t="n">
        <f aca="false">C5-C11</f>
        <v>40</v>
      </c>
      <c r="D14" s="10" t="n">
        <f aca="false">D5-D11</f>
        <v>27.5</v>
      </c>
    </row>
    <row r="15" customFormat="false" ht="15.75" hidden="false" customHeight="true" outlineLevel="0" collapsed="false">
      <c r="A15" s="27" t="s">
        <v>104</v>
      </c>
      <c r="B15" s="36" t="n">
        <f aca="false">B14/B5</f>
        <v>0.6</v>
      </c>
      <c r="C15" s="36" t="n">
        <f aca="false">C14/C5</f>
        <v>0.677966101694915</v>
      </c>
      <c r="D15" s="36" t="n">
        <f aca="false">D14/D5</f>
        <v>0.654761904761905</v>
      </c>
    </row>
    <row r="17" customFormat="false" ht="18" hidden="false" customHeight="true" outlineLevel="0" collapsed="false">
      <c r="A17" s="3" t="s">
        <v>105</v>
      </c>
      <c r="B17" s="3"/>
      <c r="C17" s="3"/>
      <c r="D17" s="3"/>
    </row>
    <row r="18" customFormat="false" ht="15.75" hidden="false" customHeight="true" outlineLevel="0" collapsed="false">
      <c r="A18" s="25" t="s">
        <v>106</v>
      </c>
      <c r="B18" s="6" t="n">
        <v>80</v>
      </c>
      <c r="C18" s="6" t="n">
        <v>120</v>
      </c>
      <c r="D18" s="6" t="n">
        <v>95</v>
      </c>
    </row>
    <row r="19" customFormat="false" ht="15.75" hidden="false" customHeight="true" outlineLevel="0" collapsed="false">
      <c r="A19" s="25" t="s">
        <v>107</v>
      </c>
      <c r="B19" s="33" t="n">
        <f aca="false">Assumptions!B14</f>
        <v>0.05</v>
      </c>
      <c r="C19" s="33" t="n">
        <f aca="false">Assumptions!B14</f>
        <v>0.05</v>
      </c>
      <c r="D19" s="33" t="n">
        <f aca="false">Assumptions!B14</f>
        <v>0.05</v>
      </c>
    </row>
    <row r="20" customFormat="false" ht="15.75" hidden="false" customHeight="true" outlineLevel="0" collapsed="false">
      <c r="A20" s="25" t="s">
        <v>108</v>
      </c>
      <c r="B20" s="37" t="n">
        <f aca="false">ROUND(1/B19,1)</f>
        <v>20</v>
      </c>
      <c r="C20" s="37" t="n">
        <f aca="false">ROUND(1/C19,1)</f>
        <v>20</v>
      </c>
      <c r="D20" s="37" t="n">
        <f aca="false">ROUND(1/D19,1)</f>
        <v>20</v>
      </c>
    </row>
    <row r="21" customFormat="false" ht="15.75" hidden="false" customHeight="true" outlineLevel="0" collapsed="false">
      <c r="A21" s="27" t="s">
        <v>109</v>
      </c>
      <c r="B21" s="10" t="n">
        <f aca="false">B14*B20</f>
        <v>300</v>
      </c>
      <c r="C21" s="10" t="n">
        <f aca="false">C14*C20</f>
        <v>800</v>
      </c>
      <c r="D21" s="10" t="n">
        <f aca="false">D14*D20</f>
        <v>550</v>
      </c>
    </row>
    <row r="22" customFormat="false" ht="15.75" hidden="false" customHeight="true" outlineLevel="0" collapsed="false">
      <c r="A22" s="27" t="s">
        <v>89</v>
      </c>
      <c r="B22" s="38" t="n">
        <f aca="false">B21/B18</f>
        <v>3.75</v>
      </c>
      <c r="C22" s="38" t="n">
        <f aca="false">C21/C18</f>
        <v>6.66666666666667</v>
      </c>
      <c r="D22" s="38" t="n">
        <f aca="false">D21/D18</f>
        <v>5.78947368421053</v>
      </c>
    </row>
    <row r="23" customFormat="false" ht="15.75" hidden="false" customHeight="true" outlineLevel="0" collapsed="false">
      <c r="A23" s="25" t="s">
        <v>90</v>
      </c>
      <c r="B23" s="37" t="n">
        <f aca="false">ROUND(B18/B14,1)</f>
        <v>5.3</v>
      </c>
      <c r="C23" s="37" t="n">
        <f aca="false">ROUND(C18/C14,1)</f>
        <v>3</v>
      </c>
      <c r="D23" s="37" t="n">
        <f aca="false">ROUND(D18/D14,1)</f>
        <v>3.5</v>
      </c>
    </row>
    <row r="25" customFormat="false" ht="18" hidden="false" customHeight="true" outlineLevel="0" collapsed="false">
      <c r="A25" s="3" t="s">
        <v>110</v>
      </c>
      <c r="B25" s="3"/>
      <c r="C25" s="3"/>
      <c r="D25" s="3"/>
    </row>
    <row r="26" customFormat="false" ht="15.75" hidden="false" customHeight="true" outlineLevel="0" collapsed="false">
      <c r="A26" s="25" t="s">
        <v>111</v>
      </c>
      <c r="B26" s="35" t="n">
        <f aca="false">B11/30</f>
        <v>0.333333333333333</v>
      </c>
      <c r="C26" s="35" t="n">
        <f aca="false">C11/30</f>
        <v>0.633333333333333</v>
      </c>
      <c r="D26" s="35" t="n">
        <f aca="false">D11/30</f>
        <v>0.483333333333333</v>
      </c>
    </row>
    <row r="27" customFormat="false" ht="15.75" hidden="false" customHeight="true" outlineLevel="0" collapsed="false">
      <c r="A27" s="25" t="s">
        <v>112</v>
      </c>
      <c r="B27" s="37" t="n">
        <f aca="false">FLOOR(B5/B26,1)</f>
        <v>75</v>
      </c>
      <c r="C27" s="37" t="n">
        <f aca="false">FLOOR(C5/C26,1)</f>
        <v>93</v>
      </c>
      <c r="D27" s="37" t="n">
        <f aca="false">FLOOR(D5/D26,1)</f>
        <v>86</v>
      </c>
    </row>
    <row r="28" customFormat="false" ht="15.75" hidden="false" customHeight="true" outlineLevel="0" collapsed="false">
      <c r="A28" s="25" t="s">
        <v>113</v>
      </c>
      <c r="B28" s="35" t="n">
        <f aca="false">B5/30</f>
        <v>0.833333333333333</v>
      </c>
      <c r="C28" s="35" t="n">
        <f aca="false">C5/30</f>
        <v>1.96666666666667</v>
      </c>
      <c r="D28" s="35" t="n">
        <f aca="false">D5/30</f>
        <v>1.4</v>
      </c>
    </row>
    <row r="29" customFormat="false" ht="15.75" hidden="false" customHeight="true" outlineLevel="0" collapsed="false">
      <c r="A29" s="27" t="s">
        <v>114</v>
      </c>
      <c r="B29" s="10" t="n">
        <f aca="false">B28-B26</f>
        <v>0.5</v>
      </c>
      <c r="C29" s="10" t="n">
        <f aca="false">C28-C26</f>
        <v>1.33333333333333</v>
      </c>
      <c r="D29" s="10" t="n">
        <f aca="false">D28-D26</f>
        <v>0.916666666666667</v>
      </c>
    </row>
  </sheetData>
  <mergeCells count="6">
    <mergeCell ref="A1:D1"/>
    <mergeCell ref="A4:D4"/>
    <mergeCell ref="A8:D8"/>
    <mergeCell ref="A13:D13"/>
    <mergeCell ref="A17:D17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2026-05-29T16:01:25Z</dcterms:created>
  <dc:creator>openpyxl</dc:creator>
  <dc:description/>
  <dc:language>en-US</dc:language>
  <cp:lastModifiedBy/>
  <dcterms:modified xsi:type="dcterms:W3CDTF">2026-05-29T16:01:26Z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